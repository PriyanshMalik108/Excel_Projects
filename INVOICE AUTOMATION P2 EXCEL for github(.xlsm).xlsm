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pp44\Documents\"/>
    </mc:Choice>
  </mc:AlternateContent>
  <xr:revisionPtr revIDLastSave="0" documentId="8_{1027FBD1-E4D8-48BE-AA5D-8C11A1398835}" xr6:coauthVersionLast="47" xr6:coauthVersionMax="47" xr10:uidLastSave="{00000000-0000-0000-0000-000000000000}"/>
  <bookViews>
    <workbookView xWindow="-120" yWindow="-120" windowWidth="20730" windowHeight="11040" xr2:uid="{4479CD48-D9EE-4303-9576-08BFBFB03D18}"/>
  </bookViews>
  <sheets>
    <sheet name="INVOICE" sheetId="1" r:id="rId1"/>
    <sheet name="Sheet2" sheetId="2" r:id="rId2"/>
  </sheets>
  <definedNames>
    <definedName name="_xlnm._FilterDatabase" localSheetId="0" hidden="1">INVOICE!$B$15:$H$33</definedName>
    <definedName name="_xlnm.Print_Area" localSheetId="0">INVOICE!$A$1:$I$43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 a="1"/>
  <c r="G16" i="1"/>
  <c r="H16" i="1" s="1"/>
  <c r="E16" i="1" a="1"/>
  <c r="E16" i="1"/>
  <c r="D16" i="1" a="1"/>
  <c r="D16" i="1"/>
  <c r="C16" i="1" a="1"/>
  <c r="C16" i="1"/>
  <c r="C19" i="1" a="1"/>
  <c r="C19" i="1"/>
  <c r="G17" i="1" a="1"/>
  <c r="G17" i="1"/>
  <c r="H17" i="1" s="1"/>
  <c r="E17" i="1" a="1"/>
  <c r="E17" i="1"/>
  <c r="D17" i="1" a="1"/>
  <c r="D17" i="1"/>
  <c r="C17" i="1" a="1"/>
  <c r="C17" i="1"/>
  <c r="G19" i="1" a="1"/>
  <c r="G19" i="1"/>
  <c r="H19" i="1"/>
  <c r="G18" i="1" a="1"/>
  <c r="G18" i="1"/>
  <c r="H18" i="1" s="1"/>
  <c r="G20" i="1" a="1"/>
  <c r="G20" i="1"/>
  <c r="H20" i="1" s="1"/>
  <c r="G21" i="1" a="1"/>
  <c r="G21" i="1"/>
  <c r="H21" i="1" s="1"/>
  <c r="G22" i="1" a="1"/>
  <c r="G22" i="1"/>
  <c r="H22" i="1" s="1"/>
  <c r="G23" i="1" a="1"/>
  <c r="G23" i="1"/>
  <c r="H23" i="1" s="1"/>
  <c r="G24" i="1" a="1"/>
  <c r="G24" i="1"/>
  <c r="H24" i="1" s="1"/>
  <c r="G25" i="1" a="1"/>
  <c r="G25" i="1"/>
  <c r="H25" i="1" s="1"/>
  <c r="G26" i="1" a="1"/>
  <c r="G26" i="1"/>
  <c r="H26" i="1" s="1"/>
  <c r="G27" i="1" a="1"/>
  <c r="G27" i="1"/>
  <c r="H27" i="1" s="1"/>
  <c r="G28" i="1" a="1"/>
  <c r="G28" i="1"/>
  <c r="H28" i="1" s="1"/>
  <c r="E18" i="1" a="1"/>
  <c r="E18" i="1"/>
  <c r="E19" i="1" a="1"/>
  <c r="E19" i="1"/>
  <c r="E20" i="1" a="1"/>
  <c r="E20" i="1"/>
  <c r="E21" i="1" a="1"/>
  <c r="E21" i="1"/>
  <c r="E22" i="1" a="1"/>
  <c r="E22" i="1"/>
  <c r="E23" i="1" a="1"/>
  <c r="E23" i="1"/>
  <c r="E24" i="1" a="1"/>
  <c r="E24" i="1"/>
  <c r="E25" i="1" a="1"/>
  <c r="E25" i="1"/>
  <c r="E26" i="1" a="1"/>
  <c r="E26" i="1"/>
  <c r="E27" i="1" a="1"/>
  <c r="E27" i="1"/>
  <c r="E28" i="1" a="1"/>
  <c r="E28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C18" i="1" a="1"/>
  <c r="C18" i="1"/>
  <c r="C20" i="1" a="1"/>
  <c r="C20" i="1"/>
  <c r="C21" i="1" a="1"/>
  <c r="C21" i="1"/>
  <c r="C22" i="1" a="1"/>
  <c r="C22" i="1"/>
  <c r="C23" i="1" a="1"/>
  <c r="C23" i="1"/>
  <c r="C24" i="1" a="1"/>
  <c r="C24" i="1"/>
  <c r="C25" i="1" a="1"/>
  <c r="C25" i="1"/>
  <c r="C26" i="1" a="1"/>
  <c r="C26" i="1"/>
  <c r="C27" i="1" a="1"/>
  <c r="C27" i="1"/>
  <c r="C28" i="1" a="1"/>
  <c r="C28" i="1"/>
  <c r="G9" i="1"/>
  <c r="B13" i="1"/>
  <c r="G13" i="1" s="1"/>
  <c r="B12" i="1"/>
  <c r="G12" i="1" s="1"/>
  <c r="B11" i="1" a="1"/>
  <c r="B11" i="1"/>
  <c r="G11" i="1" s="1"/>
  <c r="B10" i="1"/>
  <c r="G10" i="1" s="1"/>
  <c r="H6" i="1"/>
  <c r="H29" i="1" l="1"/>
  <c r="H30" i="1" s="1"/>
  <c r="H31" i="1" s="1"/>
  <c r="H32" i="1" l="1"/>
  <c r="H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<sst xmlns="http://schemas.openxmlformats.org/spreadsheetml/2006/main" count="1649" uniqueCount="985">
  <si>
    <t>PRODUCT CODE</t>
  </si>
  <si>
    <t>DESCRIPTION</t>
  </si>
  <si>
    <t>HSN</t>
  </si>
  <si>
    <t>QUANTITY</t>
  </si>
  <si>
    <t>RATE</t>
  </si>
  <si>
    <t>AMOUNT</t>
  </si>
  <si>
    <t>TAX INVOICE</t>
  </si>
  <si>
    <t>SELLER</t>
  </si>
  <si>
    <t>ABC LTD</t>
  </si>
  <si>
    <t>TY8989898989T</t>
  </si>
  <si>
    <t>ADDRESS 2</t>
  </si>
  <si>
    <t xml:space="preserve">ADDRESS 1 </t>
  </si>
  <si>
    <t>BUYER</t>
  </si>
  <si>
    <t>UNIT</t>
  </si>
  <si>
    <t>LOGO</t>
  </si>
  <si>
    <t>DELIVERY ADDESS</t>
  </si>
  <si>
    <t>INVOICE NO .</t>
  </si>
  <si>
    <t>HBA</t>
  </si>
  <si>
    <t>GROSS TOTAL</t>
  </si>
  <si>
    <t>DISCOUNT</t>
  </si>
  <si>
    <t xml:space="preserve"> DISCOUNTED PRICE</t>
  </si>
  <si>
    <t xml:space="preserve"> GST</t>
  </si>
  <si>
    <t>TOTAL</t>
  </si>
  <si>
    <t>SELLER BANK DETAILS</t>
  </si>
  <si>
    <t>PNB BANK</t>
  </si>
  <si>
    <t>1234XXXXXXXX</t>
  </si>
  <si>
    <t>IFSC CODE</t>
  </si>
  <si>
    <t>ANY OTHER DETAILS</t>
  </si>
  <si>
    <t xml:space="preserve"> SIGNATURE</t>
  </si>
  <si>
    <t>Buyer Name</t>
  </si>
  <si>
    <t>Address Line 1</t>
  </si>
  <si>
    <t>Address Line 2</t>
  </si>
  <si>
    <t>City</t>
  </si>
  <si>
    <t>State</t>
  </si>
  <si>
    <t>Postal Code</t>
  </si>
  <si>
    <t>Country</t>
  </si>
  <si>
    <t>Contact Person</t>
  </si>
  <si>
    <t>Phone Number</t>
  </si>
  <si>
    <t>Email Address</t>
  </si>
  <si>
    <t>GSTIN</t>
  </si>
  <si>
    <t>PAN</t>
  </si>
  <si>
    <t>Business Type</t>
  </si>
  <si>
    <t>Payment Terms</t>
  </si>
  <si>
    <t>Credit Limit</t>
  </si>
  <si>
    <t>Buyer 1</t>
  </si>
  <si>
    <t>1 Main Street</t>
  </si>
  <si>
    <t>Suite 1</t>
  </si>
  <si>
    <t>City 2</t>
  </si>
  <si>
    <t>State 2</t>
  </si>
  <si>
    <t>India</t>
  </si>
  <si>
    <t>Contact 1</t>
  </si>
  <si>
    <t>buyer1@example.com</t>
  </si>
  <si>
    <t>01ABCDE0001F1Z2</t>
  </si>
  <si>
    <t>ABCDE0001F</t>
  </si>
  <si>
    <t>Wholesaler</t>
  </si>
  <si>
    <t>Net 30</t>
  </si>
  <si>
    <t>Γé╣100000</t>
  </si>
  <si>
    <t>Buyer 2</t>
  </si>
  <si>
    <t>2 Main Street</t>
  </si>
  <si>
    <t>Suite 2</t>
  </si>
  <si>
    <t>City 3</t>
  </si>
  <si>
    <t>State 3</t>
  </si>
  <si>
    <t>Contact 2</t>
  </si>
  <si>
    <t>buyer2@example.com</t>
  </si>
  <si>
    <t>02ABCDE0002F1Z3</t>
  </si>
  <si>
    <t>ABCDE0002F</t>
  </si>
  <si>
    <t>Distributor</t>
  </si>
  <si>
    <t>Net 45</t>
  </si>
  <si>
    <t>Γé╣150000</t>
  </si>
  <si>
    <t>Buyer 3</t>
  </si>
  <si>
    <t>3 Main Street</t>
  </si>
  <si>
    <t>Suite 3</t>
  </si>
  <si>
    <t>City 4</t>
  </si>
  <si>
    <t>State 4</t>
  </si>
  <si>
    <t>Contact 3</t>
  </si>
  <si>
    <t>buyer3@example.com</t>
  </si>
  <si>
    <t>03ABCDE0003F1Z4</t>
  </si>
  <si>
    <t>ABCDE0003F</t>
  </si>
  <si>
    <t>Exporter</t>
  </si>
  <si>
    <t>COD</t>
  </si>
  <si>
    <t>Γé╣200000</t>
  </si>
  <si>
    <t>Buyer 4</t>
  </si>
  <si>
    <t>4 Main Street</t>
  </si>
  <si>
    <t>Suite 4</t>
  </si>
  <si>
    <t>City 5</t>
  </si>
  <si>
    <t>State 5</t>
  </si>
  <si>
    <t>Contact 4</t>
  </si>
  <si>
    <t>buyer4@example.com</t>
  </si>
  <si>
    <t>04ABCDE0004F1Z5</t>
  </si>
  <si>
    <t>ABCDE0004F</t>
  </si>
  <si>
    <t>Online Seller</t>
  </si>
  <si>
    <t>Net 60</t>
  </si>
  <si>
    <t>Γé╣250000</t>
  </si>
  <si>
    <t>Buyer 5</t>
  </si>
  <si>
    <t>5 Main Street</t>
  </si>
  <si>
    <t>Suite 5</t>
  </si>
  <si>
    <t>City 6</t>
  </si>
  <si>
    <t>State 1</t>
  </si>
  <si>
    <t>Contact 5</t>
  </si>
  <si>
    <t>buyer5@example.com</t>
  </si>
  <si>
    <t>05ABCDE0005F1Z6</t>
  </si>
  <si>
    <t>ABCDE0005F</t>
  </si>
  <si>
    <t>Retailer</t>
  </si>
  <si>
    <t>Net 15</t>
  </si>
  <si>
    <t>Γé╣300000</t>
  </si>
  <si>
    <t>Buyer 6</t>
  </si>
  <si>
    <t>6 Main Street</t>
  </si>
  <si>
    <t>Suite 6</t>
  </si>
  <si>
    <t>City 7</t>
  </si>
  <si>
    <t>Contact 6</t>
  </si>
  <si>
    <t>buyer6@example.com</t>
  </si>
  <si>
    <t>06ABCDE0006F1Z7</t>
  </si>
  <si>
    <t>ABCDE0006F</t>
  </si>
  <si>
    <t>Γé╣350000</t>
  </si>
  <si>
    <t>Buyer 7</t>
  </si>
  <si>
    <t>7 Main Street</t>
  </si>
  <si>
    <t>Suite 7</t>
  </si>
  <si>
    <t>City 8</t>
  </si>
  <si>
    <t>Contact 7</t>
  </si>
  <si>
    <t>buyer7@example.com</t>
  </si>
  <si>
    <t>07ABCDE0007F1Z8</t>
  </si>
  <si>
    <t>ABCDE0007F</t>
  </si>
  <si>
    <t>Γé╣400000</t>
  </si>
  <si>
    <t>Buyer 8</t>
  </si>
  <si>
    <t>8 Main Street</t>
  </si>
  <si>
    <t>Suite 8</t>
  </si>
  <si>
    <t>City 9</t>
  </si>
  <si>
    <t>Contact 8</t>
  </si>
  <si>
    <t>buyer8@example.com</t>
  </si>
  <si>
    <t>08ABCDE0008F1Z9</t>
  </si>
  <si>
    <t>ABCDE0008F</t>
  </si>
  <si>
    <t>Γé╣450000</t>
  </si>
  <si>
    <t>Buyer 9</t>
  </si>
  <si>
    <t>9 Main Street</t>
  </si>
  <si>
    <t>Suite 9</t>
  </si>
  <si>
    <t>City 10</t>
  </si>
  <si>
    <t>Contact 9</t>
  </si>
  <si>
    <t>buyer9@example.com</t>
  </si>
  <si>
    <t>09ABCDE0009F1Z1</t>
  </si>
  <si>
    <t>ABCDE0009F</t>
  </si>
  <si>
    <t>Γé╣500000</t>
  </si>
  <si>
    <t>Buyer 10</t>
  </si>
  <si>
    <t>10 Main Street</t>
  </si>
  <si>
    <t>Suite 10</t>
  </si>
  <si>
    <t>City 1</t>
  </si>
  <si>
    <t>Contact 10</t>
  </si>
  <si>
    <t>buyer10@example.com</t>
  </si>
  <si>
    <t>10ABCDE0010F1Z2</t>
  </si>
  <si>
    <t>ABCDE0010F</t>
  </si>
  <si>
    <t>Γé╣50000</t>
  </si>
  <si>
    <t>Buyer 11</t>
  </si>
  <si>
    <t>11 Main Street</t>
  </si>
  <si>
    <t>Suite 11</t>
  </si>
  <si>
    <t>Contact 11</t>
  </si>
  <si>
    <t>buyer11@example.com</t>
  </si>
  <si>
    <t>11ABCDE0011F1Z3</t>
  </si>
  <si>
    <t>ABCDE0011F</t>
  </si>
  <si>
    <t>Buyer 12</t>
  </si>
  <si>
    <t>12 Main Street</t>
  </si>
  <si>
    <t>Suite 12</t>
  </si>
  <si>
    <t>Contact 12</t>
  </si>
  <si>
    <t>buyer12@example.com</t>
  </si>
  <si>
    <t>12ABCDE0012F1Z4</t>
  </si>
  <si>
    <t>ABCDE0012F</t>
  </si>
  <si>
    <t>Buyer 13</t>
  </si>
  <si>
    <t>13 Main Street</t>
  </si>
  <si>
    <t>Suite 13</t>
  </si>
  <si>
    <t>Contact 13</t>
  </si>
  <si>
    <t>buyer13@example.com</t>
  </si>
  <si>
    <t>13ABCDE0013F1Z5</t>
  </si>
  <si>
    <t>ABCDE0013F</t>
  </si>
  <si>
    <t>Buyer 14</t>
  </si>
  <si>
    <t>14 Main Street</t>
  </si>
  <si>
    <t>Suite 14</t>
  </si>
  <si>
    <t>Contact 14</t>
  </si>
  <si>
    <t>buyer14@example.com</t>
  </si>
  <si>
    <t>14ABCDE0014F1Z6</t>
  </si>
  <si>
    <t>ABCDE0014F</t>
  </si>
  <si>
    <t>Buyer 15</t>
  </si>
  <si>
    <t>15 Main Street</t>
  </si>
  <si>
    <t>Suite 15</t>
  </si>
  <si>
    <t>Contact 15</t>
  </si>
  <si>
    <t>buyer15@example.com</t>
  </si>
  <si>
    <t>15ABCDE0015F1Z7</t>
  </si>
  <si>
    <t>ABCDE0015F</t>
  </si>
  <si>
    <t>Buyer 16</t>
  </si>
  <si>
    <t>16 Main Street</t>
  </si>
  <si>
    <t>Suite 16</t>
  </si>
  <si>
    <t>Contact 16</t>
  </si>
  <si>
    <t>buyer16@example.com</t>
  </si>
  <si>
    <t>16ABCDE0016F1Z8</t>
  </si>
  <si>
    <t>ABCDE0016F</t>
  </si>
  <si>
    <t>Buyer 17</t>
  </si>
  <si>
    <t>17 Main Street</t>
  </si>
  <si>
    <t>Suite 17</t>
  </si>
  <si>
    <t>Contact 17</t>
  </si>
  <si>
    <t>buyer17@example.com</t>
  </si>
  <si>
    <t>17ABCDE0017F1Z9</t>
  </si>
  <si>
    <t>ABCDE0017F</t>
  </si>
  <si>
    <t>Buyer 18</t>
  </si>
  <si>
    <t>18 Main Street</t>
  </si>
  <si>
    <t>Suite 18</t>
  </si>
  <si>
    <t>Contact 18</t>
  </si>
  <si>
    <t>buyer18@example.com</t>
  </si>
  <si>
    <t>18ABCDE0018F1Z1</t>
  </si>
  <si>
    <t>ABCDE0018F</t>
  </si>
  <si>
    <t>Buyer 19</t>
  </si>
  <si>
    <t>19 Main Street</t>
  </si>
  <si>
    <t>Suite 19</t>
  </si>
  <si>
    <t>Contact 19</t>
  </si>
  <si>
    <t>buyer19@example.com</t>
  </si>
  <si>
    <t>19ABCDE0019F1Z2</t>
  </si>
  <si>
    <t>ABCDE0019F</t>
  </si>
  <si>
    <t>Buyer 20</t>
  </si>
  <si>
    <t>20 Main Street</t>
  </si>
  <si>
    <t>Suite 20</t>
  </si>
  <si>
    <t>Contact 20</t>
  </si>
  <si>
    <t>buyer20@example.com</t>
  </si>
  <si>
    <t>20ABCDE0020F1Z3</t>
  </si>
  <si>
    <t>ABCDE0020F</t>
  </si>
  <si>
    <t>Buyer 21</t>
  </si>
  <si>
    <t>21 Main Street</t>
  </si>
  <si>
    <t>Suite 21</t>
  </si>
  <si>
    <t>Contact 21</t>
  </si>
  <si>
    <t>buyer21@example.com</t>
  </si>
  <si>
    <t>21ABCDE0021F1Z4</t>
  </si>
  <si>
    <t>ABCDE0021F</t>
  </si>
  <si>
    <t>Buyer 22</t>
  </si>
  <si>
    <t>22 Main Street</t>
  </si>
  <si>
    <t>Suite 22</t>
  </si>
  <si>
    <t>Contact 22</t>
  </si>
  <si>
    <t>buyer22@example.com</t>
  </si>
  <si>
    <t>22ABCDE0022F1Z5</t>
  </si>
  <si>
    <t>ABCDE0022F</t>
  </si>
  <si>
    <t>Buyer 23</t>
  </si>
  <si>
    <t>23 Main Street</t>
  </si>
  <si>
    <t>Suite 23</t>
  </si>
  <si>
    <t>Contact 23</t>
  </si>
  <si>
    <t>buyer23@example.com</t>
  </si>
  <si>
    <t>23ABCDE0023F1Z6</t>
  </si>
  <si>
    <t>ABCDE0023F</t>
  </si>
  <si>
    <t>Buyer 24</t>
  </si>
  <si>
    <t>24 Main Street</t>
  </si>
  <si>
    <t>Suite 24</t>
  </si>
  <si>
    <t>Contact 24</t>
  </si>
  <si>
    <t>buyer24@example.com</t>
  </si>
  <si>
    <t>24ABCDE0024F1Z7</t>
  </si>
  <si>
    <t>ABCDE0024F</t>
  </si>
  <si>
    <t>Buyer 25</t>
  </si>
  <si>
    <t>25 Main Street</t>
  </si>
  <si>
    <t>Suite 25</t>
  </si>
  <si>
    <t>Contact 25</t>
  </si>
  <si>
    <t>buyer25@example.com</t>
  </si>
  <si>
    <t>25ABCDE0025F1Z8</t>
  </si>
  <si>
    <t>ABCDE0025F</t>
  </si>
  <si>
    <t>Buyer 26</t>
  </si>
  <si>
    <t>26 Main Street</t>
  </si>
  <si>
    <t>Suite 26</t>
  </si>
  <si>
    <t>Contact 26</t>
  </si>
  <si>
    <t>buyer26@example.com</t>
  </si>
  <si>
    <t>26ABCDE0026F1Z9</t>
  </si>
  <si>
    <t>ABCDE0026F</t>
  </si>
  <si>
    <t>Buyer 27</t>
  </si>
  <si>
    <t>27 Main Street</t>
  </si>
  <si>
    <t>Suite 27</t>
  </si>
  <si>
    <t>Contact 27</t>
  </si>
  <si>
    <t>buyer27@example.com</t>
  </si>
  <si>
    <t>27ABCDE0027F1Z1</t>
  </si>
  <si>
    <t>ABCDE0027F</t>
  </si>
  <si>
    <t>Buyer 28</t>
  </si>
  <si>
    <t>28 Main Street</t>
  </si>
  <si>
    <t>Suite 28</t>
  </si>
  <si>
    <t>Contact 28</t>
  </si>
  <si>
    <t>buyer28@example.com</t>
  </si>
  <si>
    <t>28ABCDE0028F1Z2</t>
  </si>
  <si>
    <t>ABCDE0028F</t>
  </si>
  <si>
    <t>Buyer 29</t>
  </si>
  <si>
    <t>29 Main Street</t>
  </si>
  <si>
    <t>Suite 29</t>
  </si>
  <si>
    <t>Contact 29</t>
  </si>
  <si>
    <t>buyer29@example.com</t>
  </si>
  <si>
    <t>29ABCDE0029F1Z3</t>
  </si>
  <si>
    <t>ABCDE0029F</t>
  </si>
  <si>
    <t>Buyer 30</t>
  </si>
  <si>
    <t>30 Main Street</t>
  </si>
  <si>
    <t>Suite 30</t>
  </si>
  <si>
    <t>Contact 30</t>
  </si>
  <si>
    <t>buyer30@example.com</t>
  </si>
  <si>
    <t>30ABCDE0030F1Z4</t>
  </si>
  <si>
    <t>ABCDE0030F</t>
  </si>
  <si>
    <t>Buyer 31</t>
  </si>
  <si>
    <t>31 Main Street</t>
  </si>
  <si>
    <t>Suite 31</t>
  </si>
  <si>
    <t>Contact 31</t>
  </si>
  <si>
    <t>buyer31@example.com</t>
  </si>
  <si>
    <t>31ABCDE0031F1Z5</t>
  </si>
  <si>
    <t>ABCDE0031F</t>
  </si>
  <si>
    <t>Buyer 32</t>
  </si>
  <si>
    <t>32 Main Street</t>
  </si>
  <si>
    <t>Suite 32</t>
  </si>
  <si>
    <t>Contact 32</t>
  </si>
  <si>
    <t>buyer32@example.com</t>
  </si>
  <si>
    <t>32ABCDE0032F1Z6</t>
  </si>
  <si>
    <t>ABCDE0032F</t>
  </si>
  <si>
    <t>Buyer 33</t>
  </si>
  <si>
    <t>33 Main Street</t>
  </si>
  <si>
    <t>Suite 33</t>
  </si>
  <si>
    <t>Contact 33</t>
  </si>
  <si>
    <t>buyer33@example.com</t>
  </si>
  <si>
    <t>33ABCDE0033F1Z7</t>
  </si>
  <si>
    <t>ABCDE0033F</t>
  </si>
  <si>
    <t>Buyer 34</t>
  </si>
  <si>
    <t>34 Main Street</t>
  </si>
  <si>
    <t>Suite 34</t>
  </si>
  <si>
    <t>Contact 34</t>
  </si>
  <si>
    <t>buyer34@example.com</t>
  </si>
  <si>
    <t>34ABCDE0034F1Z8</t>
  </si>
  <si>
    <t>ABCDE0034F</t>
  </si>
  <si>
    <t>Buyer 35</t>
  </si>
  <si>
    <t>35 Main Street</t>
  </si>
  <si>
    <t>Suite 35</t>
  </si>
  <si>
    <t>Contact 35</t>
  </si>
  <si>
    <t>buyer35@example.com</t>
  </si>
  <si>
    <t>35ABCDE0035F1Z9</t>
  </si>
  <si>
    <t>ABCDE0035F</t>
  </si>
  <si>
    <t>Buyer 36</t>
  </si>
  <si>
    <t>36 Main Street</t>
  </si>
  <si>
    <t>Suite 36</t>
  </si>
  <si>
    <t>Contact 36</t>
  </si>
  <si>
    <t>buyer36@example.com</t>
  </si>
  <si>
    <t>36ABCDE0036F1Z1</t>
  </si>
  <si>
    <t>ABCDE0036F</t>
  </si>
  <si>
    <t>Buyer 37</t>
  </si>
  <si>
    <t>37 Main Street</t>
  </si>
  <si>
    <t>Suite 37</t>
  </si>
  <si>
    <t>Contact 37</t>
  </si>
  <si>
    <t>buyer37@example.com</t>
  </si>
  <si>
    <t>37ABCDE0037F1Z2</t>
  </si>
  <si>
    <t>ABCDE0037F</t>
  </si>
  <si>
    <t>Buyer 38</t>
  </si>
  <si>
    <t>38 Main Street</t>
  </si>
  <si>
    <t>Suite 38</t>
  </si>
  <si>
    <t>Contact 38</t>
  </si>
  <si>
    <t>buyer38@example.com</t>
  </si>
  <si>
    <t>38ABCDE0038F1Z3</t>
  </si>
  <si>
    <t>ABCDE0038F</t>
  </si>
  <si>
    <t>Buyer 39</t>
  </si>
  <si>
    <t>39 Main Street</t>
  </si>
  <si>
    <t>Suite 39</t>
  </si>
  <si>
    <t>Contact 39</t>
  </si>
  <si>
    <t>buyer39@example.com</t>
  </si>
  <si>
    <t>39ABCDE0039F1Z4</t>
  </si>
  <si>
    <t>ABCDE0039F</t>
  </si>
  <si>
    <t>Buyer 40</t>
  </si>
  <si>
    <t>40 Main Street</t>
  </si>
  <si>
    <t>Suite 40</t>
  </si>
  <si>
    <t>Contact 40</t>
  </si>
  <si>
    <t>buyer40@example.com</t>
  </si>
  <si>
    <t>40ABCDE0040F1Z5</t>
  </si>
  <si>
    <t>ABCDE0040F</t>
  </si>
  <si>
    <t>Buyer 41</t>
  </si>
  <si>
    <t>41 Main Street</t>
  </si>
  <si>
    <t>Suite 41</t>
  </si>
  <si>
    <t>Contact 41</t>
  </si>
  <si>
    <t>buyer41@example.com</t>
  </si>
  <si>
    <t>41ABCDE0041F1Z6</t>
  </si>
  <si>
    <t>ABCDE0041F</t>
  </si>
  <si>
    <t>Buyer 42</t>
  </si>
  <si>
    <t>42 Main Street</t>
  </si>
  <si>
    <t>Suite 42</t>
  </si>
  <si>
    <t>Contact 42</t>
  </si>
  <si>
    <t>buyer42@example.com</t>
  </si>
  <si>
    <t>42ABCDE0042F1Z7</t>
  </si>
  <si>
    <t>ABCDE0042F</t>
  </si>
  <si>
    <t>Buyer 43</t>
  </si>
  <si>
    <t>43 Main Street</t>
  </si>
  <si>
    <t>Suite 43</t>
  </si>
  <si>
    <t>Contact 43</t>
  </si>
  <si>
    <t>buyer43@example.com</t>
  </si>
  <si>
    <t>43ABCDE0043F1Z8</t>
  </si>
  <si>
    <t>ABCDE0043F</t>
  </si>
  <si>
    <t>Buyer 44</t>
  </si>
  <si>
    <t>44 Main Street</t>
  </si>
  <si>
    <t>Suite 44</t>
  </si>
  <si>
    <t>Contact 44</t>
  </si>
  <si>
    <t>buyer44@example.com</t>
  </si>
  <si>
    <t>44ABCDE0044F1Z9</t>
  </si>
  <si>
    <t>ABCDE0044F</t>
  </si>
  <si>
    <t>Buyer 45</t>
  </si>
  <si>
    <t>45 Main Street</t>
  </si>
  <si>
    <t>Suite 45</t>
  </si>
  <si>
    <t>Contact 45</t>
  </si>
  <si>
    <t>buyer45@example.com</t>
  </si>
  <si>
    <t>45ABCDE0045F1Z1</t>
  </si>
  <si>
    <t>ABCDE0045F</t>
  </si>
  <si>
    <t>Buyer 46</t>
  </si>
  <si>
    <t>46 Main Street</t>
  </si>
  <si>
    <t>Suite 46</t>
  </si>
  <si>
    <t>Contact 46</t>
  </si>
  <si>
    <t>buyer46@example.com</t>
  </si>
  <si>
    <t>46ABCDE0046F1Z2</t>
  </si>
  <si>
    <t>ABCDE0046F</t>
  </si>
  <si>
    <t>Buyer 47</t>
  </si>
  <si>
    <t>47 Main Street</t>
  </si>
  <si>
    <t>Suite 47</t>
  </si>
  <si>
    <t>Contact 47</t>
  </si>
  <si>
    <t>buyer47@example.com</t>
  </si>
  <si>
    <t>47ABCDE0047F1Z3</t>
  </si>
  <si>
    <t>ABCDE0047F</t>
  </si>
  <si>
    <t>Buyer 48</t>
  </si>
  <si>
    <t>48 Main Street</t>
  </si>
  <si>
    <t>Suite 48</t>
  </si>
  <si>
    <t>Contact 48</t>
  </si>
  <si>
    <t>buyer48@example.com</t>
  </si>
  <si>
    <t>48ABCDE0048F1Z4</t>
  </si>
  <si>
    <t>ABCDE0048F</t>
  </si>
  <si>
    <t>Buyer 49</t>
  </si>
  <si>
    <t>49 Main Street</t>
  </si>
  <si>
    <t>Suite 49</t>
  </si>
  <si>
    <t>Contact 49</t>
  </si>
  <si>
    <t>buyer49@example.com</t>
  </si>
  <si>
    <t>49ABCDE0049F1Z5</t>
  </si>
  <si>
    <t>ABCDE0049F</t>
  </si>
  <si>
    <t>Buyer 50</t>
  </si>
  <si>
    <t>50 Main Street</t>
  </si>
  <si>
    <t>Suite 50</t>
  </si>
  <si>
    <t>Contact 50</t>
  </si>
  <si>
    <t>buyer50@example.com</t>
  </si>
  <si>
    <t>50ABCDE0050F1Z6</t>
  </si>
  <si>
    <t>ABCDE0050F</t>
  </si>
  <si>
    <t>Buyer 51</t>
  </si>
  <si>
    <t>51 Main Street</t>
  </si>
  <si>
    <t>Suite 51</t>
  </si>
  <si>
    <t>Contact 51</t>
  </si>
  <si>
    <t>buyer51@example.com</t>
  </si>
  <si>
    <t>51ABCDE0051F1Z7</t>
  </si>
  <si>
    <t>ABCDE0051F</t>
  </si>
  <si>
    <t>Buyer 52</t>
  </si>
  <si>
    <t>52 Main Street</t>
  </si>
  <si>
    <t>Suite 52</t>
  </si>
  <si>
    <t>Contact 52</t>
  </si>
  <si>
    <t>buyer52@example.com</t>
  </si>
  <si>
    <t>52ABCDE0052F1Z8</t>
  </si>
  <si>
    <t>ABCDE0052F</t>
  </si>
  <si>
    <t>Buyer 53</t>
  </si>
  <si>
    <t>53 Main Street</t>
  </si>
  <si>
    <t>Suite 53</t>
  </si>
  <si>
    <t>Contact 53</t>
  </si>
  <si>
    <t>buyer53@example.com</t>
  </si>
  <si>
    <t>53ABCDE0053F1Z9</t>
  </si>
  <si>
    <t>ABCDE0053F</t>
  </si>
  <si>
    <t>Buyer 54</t>
  </si>
  <si>
    <t>54 Main Street</t>
  </si>
  <si>
    <t>Suite 54</t>
  </si>
  <si>
    <t>Contact 54</t>
  </si>
  <si>
    <t>buyer54@example.com</t>
  </si>
  <si>
    <t>54ABCDE0054F1Z1</t>
  </si>
  <si>
    <t>ABCDE0054F</t>
  </si>
  <si>
    <t>Buyer 55</t>
  </si>
  <si>
    <t>55 Main Street</t>
  </si>
  <si>
    <t>Suite 55</t>
  </si>
  <si>
    <t>Contact 55</t>
  </si>
  <si>
    <t>buyer55@example.com</t>
  </si>
  <si>
    <t>55ABCDE0055F1Z2</t>
  </si>
  <si>
    <t>ABCDE0055F</t>
  </si>
  <si>
    <t>Buyer 56</t>
  </si>
  <si>
    <t>56 Main Street</t>
  </si>
  <si>
    <t>Suite 56</t>
  </si>
  <si>
    <t>Contact 56</t>
  </si>
  <si>
    <t>buyer56@example.com</t>
  </si>
  <si>
    <t>56ABCDE0056F1Z3</t>
  </si>
  <si>
    <t>ABCDE0056F</t>
  </si>
  <si>
    <t>Buyer 57</t>
  </si>
  <si>
    <t>57 Main Street</t>
  </si>
  <si>
    <t>Suite 57</t>
  </si>
  <si>
    <t>Contact 57</t>
  </si>
  <si>
    <t>buyer57@example.com</t>
  </si>
  <si>
    <t>57ABCDE0057F1Z4</t>
  </si>
  <si>
    <t>ABCDE0057F</t>
  </si>
  <si>
    <t>Buyer 58</t>
  </si>
  <si>
    <t>58 Main Street</t>
  </si>
  <si>
    <t>Suite 58</t>
  </si>
  <si>
    <t>Contact 58</t>
  </si>
  <si>
    <t>buyer58@example.com</t>
  </si>
  <si>
    <t>58ABCDE0058F1Z5</t>
  </si>
  <si>
    <t>ABCDE0058F</t>
  </si>
  <si>
    <t>Buyer 59</t>
  </si>
  <si>
    <t>59 Main Street</t>
  </si>
  <si>
    <t>Suite 59</t>
  </si>
  <si>
    <t>Contact 59</t>
  </si>
  <si>
    <t>buyer59@example.com</t>
  </si>
  <si>
    <t>59ABCDE0059F1Z6</t>
  </si>
  <si>
    <t>ABCDE0059F</t>
  </si>
  <si>
    <t>Buyer 60</t>
  </si>
  <si>
    <t>60 Main Street</t>
  </si>
  <si>
    <t>Suite 60</t>
  </si>
  <si>
    <t>Contact 60</t>
  </si>
  <si>
    <t>buyer60@example.com</t>
  </si>
  <si>
    <t>60ABCDE0060F1Z7</t>
  </si>
  <si>
    <t>ABCDE0060F</t>
  </si>
  <si>
    <t>Buyer 61</t>
  </si>
  <si>
    <t>61 Main Street</t>
  </si>
  <si>
    <t>Suite 61</t>
  </si>
  <si>
    <t>Contact 61</t>
  </si>
  <si>
    <t>buyer61@example.com</t>
  </si>
  <si>
    <t>61ABCDE0061F1Z8</t>
  </si>
  <si>
    <t>ABCDE0061F</t>
  </si>
  <si>
    <t>Buyer 62</t>
  </si>
  <si>
    <t>62 Main Street</t>
  </si>
  <si>
    <t>Suite 62</t>
  </si>
  <si>
    <t>Contact 62</t>
  </si>
  <si>
    <t>buyer62@example.com</t>
  </si>
  <si>
    <t>62ABCDE0062F1Z9</t>
  </si>
  <si>
    <t>ABCDE0062F</t>
  </si>
  <si>
    <t>Buyer 63</t>
  </si>
  <si>
    <t>63 Main Street</t>
  </si>
  <si>
    <t>Suite 63</t>
  </si>
  <si>
    <t>Contact 63</t>
  </si>
  <si>
    <t>buyer63@example.com</t>
  </si>
  <si>
    <t>63ABCDE0063F1Z1</t>
  </si>
  <si>
    <t>ABCDE0063F</t>
  </si>
  <si>
    <t>Buyer 64</t>
  </si>
  <si>
    <t>64 Main Street</t>
  </si>
  <si>
    <t>Suite 64</t>
  </si>
  <si>
    <t>Contact 64</t>
  </si>
  <si>
    <t>buyer64@example.com</t>
  </si>
  <si>
    <t>64ABCDE0064F1Z2</t>
  </si>
  <si>
    <t>ABCDE0064F</t>
  </si>
  <si>
    <t>Buyer 65</t>
  </si>
  <si>
    <t>65 Main Street</t>
  </si>
  <si>
    <t>Suite 65</t>
  </si>
  <si>
    <t>Contact 65</t>
  </si>
  <si>
    <t>buyer65@example.com</t>
  </si>
  <si>
    <t>65ABCDE0065F1Z3</t>
  </si>
  <si>
    <t>ABCDE0065F</t>
  </si>
  <si>
    <t>Buyer 66</t>
  </si>
  <si>
    <t>66 Main Street</t>
  </si>
  <si>
    <t>Suite 66</t>
  </si>
  <si>
    <t>Contact 66</t>
  </si>
  <si>
    <t>buyer66@example.com</t>
  </si>
  <si>
    <t>66ABCDE0066F1Z4</t>
  </si>
  <si>
    <t>ABCDE0066F</t>
  </si>
  <si>
    <t>Buyer 67</t>
  </si>
  <si>
    <t>67 Main Street</t>
  </si>
  <si>
    <t>Suite 67</t>
  </si>
  <si>
    <t>Contact 67</t>
  </si>
  <si>
    <t>buyer67@example.com</t>
  </si>
  <si>
    <t>67ABCDE0067F1Z5</t>
  </si>
  <si>
    <t>ABCDE0067F</t>
  </si>
  <si>
    <t>Buyer 68</t>
  </si>
  <si>
    <t>68 Main Street</t>
  </si>
  <si>
    <t>Suite 68</t>
  </si>
  <si>
    <t>Contact 68</t>
  </si>
  <si>
    <t>buyer68@example.com</t>
  </si>
  <si>
    <t>68ABCDE0068F1Z6</t>
  </si>
  <si>
    <t>ABCDE0068F</t>
  </si>
  <si>
    <t>Buyer 69</t>
  </si>
  <si>
    <t>69 Main Street</t>
  </si>
  <si>
    <t>Suite 69</t>
  </si>
  <si>
    <t>Contact 69</t>
  </si>
  <si>
    <t>buyer69@example.com</t>
  </si>
  <si>
    <t>69ABCDE0069F1Z7</t>
  </si>
  <si>
    <t>ABCDE0069F</t>
  </si>
  <si>
    <t>Buyer 70</t>
  </si>
  <si>
    <t>70 Main Street</t>
  </si>
  <si>
    <t>Suite 70</t>
  </si>
  <si>
    <t>Contact 70</t>
  </si>
  <si>
    <t>buyer70@example.com</t>
  </si>
  <si>
    <t>70ABCDE0070F1Z8</t>
  </si>
  <si>
    <t>ABCDE0070F</t>
  </si>
  <si>
    <t>Buyer 71</t>
  </si>
  <si>
    <t>71 Main Street</t>
  </si>
  <si>
    <t>Suite 71</t>
  </si>
  <si>
    <t>Contact 71</t>
  </si>
  <si>
    <t>buyer71@example.com</t>
  </si>
  <si>
    <t>71ABCDE0071F1Z9</t>
  </si>
  <si>
    <t>ABCDE0071F</t>
  </si>
  <si>
    <t>Buyer 72</t>
  </si>
  <si>
    <t>72 Main Street</t>
  </si>
  <si>
    <t>Suite 72</t>
  </si>
  <si>
    <t>Contact 72</t>
  </si>
  <si>
    <t>buyer72@example.com</t>
  </si>
  <si>
    <t>72ABCDE0072F1Z1</t>
  </si>
  <si>
    <t>ABCDE0072F</t>
  </si>
  <si>
    <t>Buyer 73</t>
  </si>
  <si>
    <t>73 Main Street</t>
  </si>
  <si>
    <t>Suite 73</t>
  </si>
  <si>
    <t>Contact 73</t>
  </si>
  <si>
    <t>buyer73@example.com</t>
  </si>
  <si>
    <t>73ABCDE0073F1Z2</t>
  </si>
  <si>
    <t>ABCDE0073F</t>
  </si>
  <si>
    <t>Buyer 74</t>
  </si>
  <si>
    <t>74 Main Street</t>
  </si>
  <si>
    <t>Suite 74</t>
  </si>
  <si>
    <t>Contact 74</t>
  </si>
  <si>
    <t>buyer74@example.com</t>
  </si>
  <si>
    <t>74ABCDE0074F1Z3</t>
  </si>
  <si>
    <t>ABCDE0074F</t>
  </si>
  <si>
    <t>Buyer 75</t>
  </si>
  <si>
    <t>75 Main Street</t>
  </si>
  <si>
    <t>Suite 75</t>
  </si>
  <si>
    <t>Contact 75</t>
  </si>
  <si>
    <t>buyer75@example.com</t>
  </si>
  <si>
    <t>75ABCDE0075F1Z4</t>
  </si>
  <si>
    <t>ABCDE0075F</t>
  </si>
  <si>
    <t>Buyer 76</t>
  </si>
  <si>
    <t>76 Main Street</t>
  </si>
  <si>
    <t>Suite 76</t>
  </si>
  <si>
    <t>Contact 76</t>
  </si>
  <si>
    <t>buyer76@example.com</t>
  </si>
  <si>
    <t>76ABCDE0076F1Z5</t>
  </si>
  <si>
    <t>ABCDE0076F</t>
  </si>
  <si>
    <t>Buyer 77</t>
  </si>
  <si>
    <t>77 Main Street</t>
  </si>
  <si>
    <t>Suite 77</t>
  </si>
  <si>
    <t>Contact 77</t>
  </si>
  <si>
    <t>buyer77@example.com</t>
  </si>
  <si>
    <t>77ABCDE0077F1Z6</t>
  </si>
  <si>
    <t>ABCDE0077F</t>
  </si>
  <si>
    <t>Buyer 78</t>
  </si>
  <si>
    <t>78 Main Street</t>
  </si>
  <si>
    <t>Suite 78</t>
  </si>
  <si>
    <t>Contact 78</t>
  </si>
  <si>
    <t>buyer78@example.com</t>
  </si>
  <si>
    <t>78ABCDE0078F1Z7</t>
  </si>
  <si>
    <t>ABCDE0078F</t>
  </si>
  <si>
    <t>Buyer 79</t>
  </si>
  <si>
    <t>79 Main Street</t>
  </si>
  <si>
    <t>Suite 79</t>
  </si>
  <si>
    <t>Contact 79</t>
  </si>
  <si>
    <t>buyer79@example.com</t>
  </si>
  <si>
    <t>79ABCDE0079F1Z8</t>
  </si>
  <si>
    <t>ABCDE0079F</t>
  </si>
  <si>
    <t>Buyer 80</t>
  </si>
  <si>
    <t>80 Main Street</t>
  </si>
  <si>
    <t>Suite 80</t>
  </si>
  <si>
    <t>Contact 80</t>
  </si>
  <si>
    <t>buyer80@example.com</t>
  </si>
  <si>
    <t>80ABCDE0080F1Z9</t>
  </si>
  <si>
    <t>ABCDE0080F</t>
  </si>
  <si>
    <t>Buyer 81</t>
  </si>
  <si>
    <t>81 Main Street</t>
  </si>
  <si>
    <t>Suite 81</t>
  </si>
  <si>
    <t>Contact 81</t>
  </si>
  <si>
    <t>buyer81@example.com</t>
  </si>
  <si>
    <t>81ABCDE0081F1Z1</t>
  </si>
  <si>
    <t>ABCDE0081F</t>
  </si>
  <si>
    <t>Buyer 82</t>
  </si>
  <si>
    <t>82 Main Street</t>
  </si>
  <si>
    <t>Suite 82</t>
  </si>
  <si>
    <t>Contact 82</t>
  </si>
  <si>
    <t>buyer82@example.com</t>
  </si>
  <si>
    <t>82ABCDE0082F1Z2</t>
  </si>
  <si>
    <t>ABCDE0082F</t>
  </si>
  <si>
    <t>Buyer 83</t>
  </si>
  <si>
    <t>83 Main Street</t>
  </si>
  <si>
    <t>Suite 83</t>
  </si>
  <si>
    <t>Contact 83</t>
  </si>
  <si>
    <t>buyer83@example.com</t>
  </si>
  <si>
    <t>83ABCDE0083F1Z3</t>
  </si>
  <si>
    <t>ABCDE0083F</t>
  </si>
  <si>
    <t>Buyer 84</t>
  </si>
  <si>
    <t>84 Main Street</t>
  </si>
  <si>
    <t>Suite 84</t>
  </si>
  <si>
    <t>Contact 84</t>
  </si>
  <si>
    <t>buyer84@example.com</t>
  </si>
  <si>
    <t>84ABCDE0084F1Z4</t>
  </si>
  <si>
    <t>ABCDE0084F</t>
  </si>
  <si>
    <t>Buyer 85</t>
  </si>
  <si>
    <t>85 Main Street</t>
  </si>
  <si>
    <t>Suite 85</t>
  </si>
  <si>
    <t>Contact 85</t>
  </si>
  <si>
    <t>buyer85@example.com</t>
  </si>
  <si>
    <t>85ABCDE0085F1Z5</t>
  </si>
  <si>
    <t>ABCDE0085F</t>
  </si>
  <si>
    <t>Buyer 86</t>
  </si>
  <si>
    <t>86 Main Street</t>
  </si>
  <si>
    <t>Suite 86</t>
  </si>
  <si>
    <t>Contact 86</t>
  </si>
  <si>
    <t>buyer86@example.com</t>
  </si>
  <si>
    <t>86ABCDE0086F1Z6</t>
  </si>
  <si>
    <t>ABCDE0086F</t>
  </si>
  <si>
    <t>Buyer 87</t>
  </si>
  <si>
    <t>87 Main Street</t>
  </si>
  <si>
    <t>Suite 87</t>
  </si>
  <si>
    <t>Contact 87</t>
  </si>
  <si>
    <t>buyer87@example.com</t>
  </si>
  <si>
    <t>87ABCDE0087F1Z7</t>
  </si>
  <si>
    <t>ABCDE0087F</t>
  </si>
  <si>
    <t>Buyer 88</t>
  </si>
  <si>
    <t>88 Main Street</t>
  </si>
  <si>
    <t>Suite 88</t>
  </si>
  <si>
    <t>Contact 88</t>
  </si>
  <si>
    <t>buyer88@example.com</t>
  </si>
  <si>
    <t>88ABCDE0088F1Z8</t>
  </si>
  <si>
    <t>ABCDE0088F</t>
  </si>
  <si>
    <t>Buyer 89</t>
  </si>
  <si>
    <t>89 Main Street</t>
  </si>
  <si>
    <t>Suite 89</t>
  </si>
  <si>
    <t>Contact 89</t>
  </si>
  <si>
    <t>buyer89@example.com</t>
  </si>
  <si>
    <t>89ABCDE0089F1Z9</t>
  </si>
  <si>
    <t>ABCDE0089F</t>
  </si>
  <si>
    <t>Buyer 90</t>
  </si>
  <si>
    <t>90 Main Street</t>
  </si>
  <si>
    <t>Suite 90</t>
  </si>
  <si>
    <t>Contact 90</t>
  </si>
  <si>
    <t>buyer90@example.com</t>
  </si>
  <si>
    <t>90ABCDE0090F1Z1</t>
  </si>
  <si>
    <t>ABCDE0090F</t>
  </si>
  <si>
    <t>Buyer 91</t>
  </si>
  <si>
    <t>91 Main Street</t>
  </si>
  <si>
    <t>Suite 91</t>
  </si>
  <si>
    <t>Contact 91</t>
  </si>
  <si>
    <t>buyer91@example.com</t>
  </si>
  <si>
    <t>91ABCDE0091F1Z2</t>
  </si>
  <si>
    <t>ABCDE0091F</t>
  </si>
  <si>
    <t>Buyer 92</t>
  </si>
  <si>
    <t>92 Main Street</t>
  </si>
  <si>
    <t>Suite 92</t>
  </si>
  <si>
    <t>Contact 92</t>
  </si>
  <si>
    <t>buyer92@example.com</t>
  </si>
  <si>
    <t>92ABCDE0092F1Z3</t>
  </si>
  <si>
    <t>ABCDE0092F</t>
  </si>
  <si>
    <t>Buyer 93</t>
  </si>
  <si>
    <t>93 Main Street</t>
  </si>
  <si>
    <t>Suite 93</t>
  </si>
  <si>
    <t>Contact 93</t>
  </si>
  <si>
    <t>buyer93@example.com</t>
  </si>
  <si>
    <t>93ABCDE0093F1Z4</t>
  </si>
  <si>
    <t>ABCDE0093F</t>
  </si>
  <si>
    <t>Buyer 94</t>
  </si>
  <si>
    <t>94 Main Street</t>
  </si>
  <si>
    <t>Suite 94</t>
  </si>
  <si>
    <t>Contact 94</t>
  </si>
  <si>
    <t>buyer94@example.com</t>
  </si>
  <si>
    <t>94ABCDE0094F1Z5</t>
  </si>
  <si>
    <t>ABCDE0094F</t>
  </si>
  <si>
    <t>Buyer 95</t>
  </si>
  <si>
    <t>95 Main Street</t>
  </si>
  <si>
    <t>Suite 95</t>
  </si>
  <si>
    <t>Contact 95</t>
  </si>
  <si>
    <t>buyer95@example.com</t>
  </si>
  <si>
    <t>95ABCDE0095F1Z6</t>
  </si>
  <si>
    <t>ABCDE0095F</t>
  </si>
  <si>
    <t>Buyer 96</t>
  </si>
  <si>
    <t>96 Main Street</t>
  </si>
  <si>
    <t>Suite 96</t>
  </si>
  <si>
    <t>Contact 96</t>
  </si>
  <si>
    <t>buyer96@example.com</t>
  </si>
  <si>
    <t>96ABCDE0096F1Z7</t>
  </si>
  <si>
    <t>ABCDE0096F</t>
  </si>
  <si>
    <t>Buyer 97</t>
  </si>
  <si>
    <t>97 Main Street</t>
  </si>
  <si>
    <t>Suite 97</t>
  </si>
  <si>
    <t>Contact 97</t>
  </si>
  <si>
    <t>buyer97@example.com</t>
  </si>
  <si>
    <t>97ABCDE0097F1Z8</t>
  </si>
  <si>
    <t>ABCDE0097F</t>
  </si>
  <si>
    <t>Buyer 98</t>
  </si>
  <si>
    <t>98 Main Street</t>
  </si>
  <si>
    <t>Suite 98</t>
  </si>
  <si>
    <t>Contact 98</t>
  </si>
  <si>
    <t>buyer98@example.com</t>
  </si>
  <si>
    <t>98ABCDE0098F1Z9</t>
  </si>
  <si>
    <t>ABCDE0098F</t>
  </si>
  <si>
    <t>Buyer 99</t>
  </si>
  <si>
    <t>99 Main Street</t>
  </si>
  <si>
    <t>Suite 99</t>
  </si>
  <si>
    <t>Contact 99</t>
  </si>
  <si>
    <t>buyer99@example.com</t>
  </si>
  <si>
    <t>99ABCDE0099F1Z1</t>
  </si>
  <si>
    <t>ABCDE0099F</t>
  </si>
  <si>
    <t>Buyer 100</t>
  </si>
  <si>
    <t>100 Main Street</t>
  </si>
  <si>
    <t>Suite 100</t>
  </si>
  <si>
    <t>Contact 100</t>
  </si>
  <si>
    <t>buyer100@example.com</t>
  </si>
  <si>
    <t>100ABCDE0100F1Z2</t>
  </si>
  <si>
    <t>ABCDE0100F</t>
  </si>
  <si>
    <t>Product Code</t>
  </si>
  <si>
    <t>Description</t>
  </si>
  <si>
    <t>Rate</t>
  </si>
  <si>
    <t>PROD0001</t>
  </si>
  <si>
    <t>Sample product description for product 1</t>
  </si>
  <si>
    <t>PROD0002</t>
  </si>
  <si>
    <t>Sample product description for product 2</t>
  </si>
  <si>
    <t>PROD0003</t>
  </si>
  <si>
    <t>Sample product description for product 3</t>
  </si>
  <si>
    <t>PROD0004</t>
  </si>
  <si>
    <t>Sample product description for product 4</t>
  </si>
  <si>
    <t>PROD0005</t>
  </si>
  <si>
    <t>Sample product description for product 5</t>
  </si>
  <si>
    <t>PROD0006</t>
  </si>
  <si>
    <t>Sample product description for product 6</t>
  </si>
  <si>
    <t>PROD0007</t>
  </si>
  <si>
    <t>Sample product description for product 7</t>
  </si>
  <si>
    <t>PROD0008</t>
  </si>
  <si>
    <t>Sample product description for product 8</t>
  </si>
  <si>
    <t>PROD0009</t>
  </si>
  <si>
    <t>Sample product description for product 9</t>
  </si>
  <si>
    <t>PROD0010</t>
  </si>
  <si>
    <t>Sample product description for product 10</t>
  </si>
  <si>
    <t>PROD0011</t>
  </si>
  <si>
    <t>Sample product description for product 11</t>
  </si>
  <si>
    <t>PROD0012</t>
  </si>
  <si>
    <t>Sample product description for product 12</t>
  </si>
  <si>
    <t>PROD0013</t>
  </si>
  <si>
    <t>Sample product description for product 13</t>
  </si>
  <si>
    <t>PROD0014</t>
  </si>
  <si>
    <t>Sample product description for product 14</t>
  </si>
  <si>
    <t>PROD0015</t>
  </si>
  <si>
    <t>Sample product description for product 15</t>
  </si>
  <si>
    <t>PROD0016</t>
  </si>
  <si>
    <t>Sample product description for product 16</t>
  </si>
  <si>
    <t>PROD0017</t>
  </si>
  <si>
    <t>Sample product description for product 17</t>
  </si>
  <si>
    <t>PROD0018</t>
  </si>
  <si>
    <t>Sample product description for product 18</t>
  </si>
  <si>
    <t>PROD0019</t>
  </si>
  <si>
    <t>Sample product description for product 19</t>
  </si>
  <si>
    <t>PROD0020</t>
  </si>
  <si>
    <t>Sample product description for product 20</t>
  </si>
  <si>
    <t>PROD0021</t>
  </si>
  <si>
    <t>Sample product description for product 21</t>
  </si>
  <si>
    <t>PROD0022</t>
  </si>
  <si>
    <t>Sample product description for product 22</t>
  </si>
  <si>
    <t>PROD0023</t>
  </si>
  <si>
    <t>Sample product description for product 23</t>
  </si>
  <si>
    <t>PROD0024</t>
  </si>
  <si>
    <t>Sample product description for product 24</t>
  </si>
  <si>
    <t>PROD0025</t>
  </si>
  <si>
    <t>Sample product description for product 25</t>
  </si>
  <si>
    <t>PROD0026</t>
  </si>
  <si>
    <t>Sample product description for product 26</t>
  </si>
  <si>
    <t>PROD0027</t>
  </si>
  <si>
    <t>Sample product description for product 27</t>
  </si>
  <si>
    <t>PROD0028</t>
  </si>
  <si>
    <t>Sample product description for product 28</t>
  </si>
  <si>
    <t>PROD0029</t>
  </si>
  <si>
    <t>Sample product description for product 29</t>
  </si>
  <si>
    <t>PROD0030</t>
  </si>
  <si>
    <t>Sample product description for product 30</t>
  </si>
  <si>
    <t>PROD0031</t>
  </si>
  <si>
    <t>Sample product description for product 31</t>
  </si>
  <si>
    <t>PROD0032</t>
  </si>
  <si>
    <t>Sample product description for product 32</t>
  </si>
  <si>
    <t>PROD0033</t>
  </si>
  <si>
    <t>Sample product description for product 33</t>
  </si>
  <si>
    <t>PROD0034</t>
  </si>
  <si>
    <t>Sample product description for product 34</t>
  </si>
  <si>
    <t>PROD0035</t>
  </si>
  <si>
    <t>Sample product description for product 35</t>
  </si>
  <si>
    <t>PROD0036</t>
  </si>
  <si>
    <t>Sample product description for product 36</t>
  </si>
  <si>
    <t>PROD0037</t>
  </si>
  <si>
    <t>Sample product description for product 37</t>
  </si>
  <si>
    <t>PROD0038</t>
  </si>
  <si>
    <t>Sample product description for product 38</t>
  </si>
  <si>
    <t>PROD0039</t>
  </si>
  <si>
    <t>Sample product description for product 39</t>
  </si>
  <si>
    <t>PROD0040</t>
  </si>
  <si>
    <t>Sample product description for product 40</t>
  </si>
  <si>
    <t>PROD0041</t>
  </si>
  <si>
    <t>Sample product description for product 41</t>
  </si>
  <si>
    <t>PROD0042</t>
  </si>
  <si>
    <t>Sample product description for product 42</t>
  </si>
  <si>
    <t>PROD0043</t>
  </si>
  <si>
    <t>Sample product description for product 43</t>
  </si>
  <si>
    <t>PROD0044</t>
  </si>
  <si>
    <t>Sample product description for product 44</t>
  </si>
  <si>
    <t>PROD0045</t>
  </si>
  <si>
    <t>Sample product description for product 45</t>
  </si>
  <si>
    <t>PROD0046</t>
  </si>
  <si>
    <t>Sample product description for product 46</t>
  </si>
  <si>
    <t>PROD0047</t>
  </si>
  <si>
    <t>Sample product description for product 47</t>
  </si>
  <si>
    <t>PROD0048</t>
  </si>
  <si>
    <t>Sample product description for product 48</t>
  </si>
  <si>
    <t>PROD0049</t>
  </si>
  <si>
    <t>Sample product description for product 49</t>
  </si>
  <si>
    <t>PROD0050</t>
  </si>
  <si>
    <t>Sample product description for product 50</t>
  </si>
  <si>
    <t>PROD0051</t>
  </si>
  <si>
    <t>Sample product description for product 51</t>
  </si>
  <si>
    <t>PROD0052</t>
  </si>
  <si>
    <t>Sample product description for product 52</t>
  </si>
  <si>
    <t>PROD0053</t>
  </si>
  <si>
    <t>Sample product description for product 53</t>
  </si>
  <si>
    <t>PROD0054</t>
  </si>
  <si>
    <t>Sample product description for product 54</t>
  </si>
  <si>
    <t>PROD0055</t>
  </si>
  <si>
    <t>Sample product description for product 55</t>
  </si>
  <si>
    <t>PROD0056</t>
  </si>
  <si>
    <t>Sample product description for product 56</t>
  </si>
  <si>
    <t>PROD0057</t>
  </si>
  <si>
    <t>Sample product description for product 57</t>
  </si>
  <si>
    <t>PROD0058</t>
  </si>
  <si>
    <t>Sample product description for product 58</t>
  </si>
  <si>
    <t>PROD0059</t>
  </si>
  <si>
    <t>Sample product description for product 59</t>
  </si>
  <si>
    <t>PROD0060</t>
  </si>
  <si>
    <t>Sample product description for product 60</t>
  </si>
  <si>
    <t>PROD0061</t>
  </si>
  <si>
    <t>Sample product description for product 61</t>
  </si>
  <si>
    <t>PROD0062</t>
  </si>
  <si>
    <t>Sample product description for product 62</t>
  </si>
  <si>
    <t>PROD0063</t>
  </si>
  <si>
    <t>Sample product description for product 63</t>
  </si>
  <si>
    <t>PROD0064</t>
  </si>
  <si>
    <t>Sample product description for product 64</t>
  </si>
  <si>
    <t>PROD0065</t>
  </si>
  <si>
    <t>Sample product description for product 65</t>
  </si>
  <si>
    <t>PROD0066</t>
  </si>
  <si>
    <t>Sample product description for product 66</t>
  </si>
  <si>
    <t>PROD0067</t>
  </si>
  <si>
    <t>Sample product description for product 67</t>
  </si>
  <si>
    <t>PROD0068</t>
  </si>
  <si>
    <t>Sample product description for product 68</t>
  </si>
  <si>
    <t>PROD0069</t>
  </si>
  <si>
    <t>Sample product description for product 69</t>
  </si>
  <si>
    <t>PROD0070</t>
  </si>
  <si>
    <t>Sample product description for product 70</t>
  </si>
  <si>
    <t>PROD0071</t>
  </si>
  <si>
    <t>Sample product description for product 71</t>
  </si>
  <si>
    <t>PROD0072</t>
  </si>
  <si>
    <t>Sample product description for product 72</t>
  </si>
  <si>
    <t>PROD0073</t>
  </si>
  <si>
    <t>Sample product description for product 73</t>
  </si>
  <si>
    <t>PROD0074</t>
  </si>
  <si>
    <t>Sample product description for product 74</t>
  </si>
  <si>
    <t>PROD0075</t>
  </si>
  <si>
    <t>Sample product description for product 75</t>
  </si>
  <si>
    <t>PROD0076</t>
  </si>
  <si>
    <t>Sample product description for product 76</t>
  </si>
  <si>
    <t>PROD0077</t>
  </si>
  <si>
    <t>Sample product description for product 77</t>
  </si>
  <si>
    <t>PROD0078</t>
  </si>
  <si>
    <t>Sample product description for product 78</t>
  </si>
  <si>
    <t>PROD0079</t>
  </si>
  <si>
    <t>Sample product description for product 79</t>
  </si>
  <si>
    <t>PROD0080</t>
  </si>
  <si>
    <t>Sample product description for product 80</t>
  </si>
  <si>
    <t>PROD0081</t>
  </si>
  <si>
    <t>Sample product description for product 81</t>
  </si>
  <si>
    <t>PROD0082</t>
  </si>
  <si>
    <t>Sample product description for product 82</t>
  </si>
  <si>
    <t>PROD0083</t>
  </si>
  <si>
    <t>Sample product description for product 83</t>
  </si>
  <si>
    <t>PROD0084</t>
  </si>
  <si>
    <t>Sample product description for product 84</t>
  </si>
  <si>
    <t>PROD0085</t>
  </si>
  <si>
    <t>Sample product description for product 85</t>
  </si>
  <si>
    <t>PROD0086</t>
  </si>
  <si>
    <t>Sample product description for product 86</t>
  </si>
  <si>
    <t>PROD0087</t>
  </si>
  <si>
    <t>Sample product description for product 87</t>
  </si>
  <si>
    <t>PROD0088</t>
  </si>
  <si>
    <t>Sample product description for product 88</t>
  </si>
  <si>
    <t>PROD0089</t>
  </si>
  <si>
    <t>Sample product description for product 89</t>
  </si>
  <si>
    <t>PROD0090</t>
  </si>
  <si>
    <t>Sample product description for product 90</t>
  </si>
  <si>
    <t>PROD0091</t>
  </si>
  <si>
    <t>Sample product description for product 91</t>
  </si>
  <si>
    <t>PROD0092</t>
  </si>
  <si>
    <t>Sample product description for product 92</t>
  </si>
  <si>
    <t>PROD0093</t>
  </si>
  <si>
    <t>Sample product description for product 93</t>
  </si>
  <si>
    <t>PROD0094</t>
  </si>
  <si>
    <t>Sample product description for product 94</t>
  </si>
  <si>
    <t>PROD0095</t>
  </si>
  <si>
    <t>Sample product description for product 95</t>
  </si>
  <si>
    <t>PROD0096</t>
  </si>
  <si>
    <t>Sample product description for product 96</t>
  </si>
  <si>
    <t>PROD0097</t>
  </si>
  <si>
    <t>Sample product description for product 97</t>
  </si>
  <si>
    <t>PROD0098</t>
  </si>
  <si>
    <t>Sample product description for product 98</t>
  </si>
  <si>
    <t>PROD0099</t>
  </si>
  <si>
    <t>Sample product description for product 99</t>
  </si>
  <si>
    <t>PROD0100</t>
  </si>
  <si>
    <t>Sample product description for product 100</t>
  </si>
  <si>
    <t xml:space="preserve">UNIT </t>
  </si>
  <si>
    <t>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</si>
</sst>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8"/>
      <color rgb="FFFF0000"/>
      <name val="Arial Black"/>
      <family val="2"/>
    </font>
    <font>
      <sz val="14"/>
      <color rgb="FFFF0000"/>
      <name val="Arial Black"/>
      <family val="2"/>
    </font>
    <font>
      <sz val="8"/>
      <name val="Aptos Narrow"/>
      <family val="2"/>
      <scheme val="minor"/>
    </font>
    <font>
      <sz val="14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2" xfId="0" applyBorder="1"/>
    <xf numFmtId="0" fontId="0" fillId="0" borderId="13" xfId="0" applyBorder="1"/>
    <xf numFmtId="14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2" xfId="0" applyBorder="1" applyAlignment="1">
      <alignment horizontal="center"/>
    </xf>
    <xf numFmtId="0" fontId="0" fillId="0" borderId="14" xfId="0" applyBorder="1"/>
    <xf numFmtId="0" fontId="0" fillId="2" borderId="12" xfId="0" applyFill="1" applyBorder="1" applyAlignment="1">
      <alignment horizontal="center"/>
    </xf>
    <xf numFmtId="0" fontId="1" fillId="2" borderId="12" xfId="0" applyFont="1" applyFill="1" applyBorder="1"/>
    <xf numFmtId="0" fontId="1" fillId="2" borderId="12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9" xfId="0" applyBorder="1"/>
    <xf numFmtId="0" fontId="1" fillId="0" borderId="4" xfId="0" applyFont="1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0" xfId="0"/>
    <xf numFmtId="0" fontId="0" fillId="0" borderId="7" xfId="0" applyBorder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0" xfId="0" applyFont="1" applyBorder="1"/>
    <xf numFmtId="0" fontId="1" fillId="0" borderId="5" xfId="0" applyFont="1" applyBorder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10</xdr:row>
          <xdr:rowOff>28575</xdr:rowOff>
        </xdr:from>
        <xdr:to>
          <xdr:col>11</xdr:col>
          <xdr:colOff>800100</xdr:colOff>
          <xdr:row>12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2</xdr:row>
          <xdr:rowOff>0</xdr:rowOff>
        </xdr:from>
        <xdr:to>
          <xdr:col>12</xdr:col>
          <xdr:colOff>0</xdr:colOff>
          <xdr:row>4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6</xdr:row>
          <xdr:rowOff>28575</xdr:rowOff>
        </xdr:from>
        <xdr:to>
          <xdr:col>12</xdr:col>
          <xdr:colOff>0</xdr:colOff>
          <xdr:row>8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02DD-4979-451E-8A9E-BFA0DC08DF43}">
  <sheetPr codeName="Sheet1">
    <pageSetUpPr fitToPage="1"/>
  </sheetPr>
  <dimension ref="B1:H41"/>
  <sheetViews>
    <sheetView tabSelected="1" zoomScale="66" zoomScaleNormal="66" workbookViewId="0">
      <selection activeCell="H7" sqref="H7"/>
    </sheetView>
  </sheetViews>
  <sheetFormatPr defaultRowHeight="18.75" x14ac:dyDescent="0.3"/>
  <cols>
    <col min="2" max="2" width="18.3984375" bestFit="1" customWidth="1"/>
    <col min="3" max="3" width="33" customWidth="1"/>
    <col min="4" max="4" width="4.796875" bestFit="1" customWidth="1"/>
    <col min="5" max="5" width="4.3984375" customWidth="1"/>
    <col min="6" max="6" width="8.5" bestFit="1" customWidth="1"/>
    <col min="7" max="7" width="13.09765625" customWidth="1"/>
    <col min="8" max="8" width="11.09765625" customWidth="1"/>
    <col min="9" max="9" width="7.69921875" bestFit="1" customWidth="1"/>
  </cols>
  <sheetData>
    <row r="1" spans="2:8" ht="19.5" thickBot="1" x14ac:dyDescent="0.35">
      <c r="B1" s="41" t="s">
        <v>6</v>
      </c>
      <c r="C1" s="42"/>
      <c r="D1" s="42"/>
      <c r="E1" s="42"/>
      <c r="F1" s="42"/>
      <c r="G1" s="42"/>
      <c r="H1" s="43"/>
    </row>
    <row r="2" spans="2:8" ht="19.5" thickBot="1" x14ac:dyDescent="0.35"/>
    <row r="3" spans="2:8" x14ac:dyDescent="0.3">
      <c r="B3" s="33" t="s">
        <v>7</v>
      </c>
      <c r="C3" s="44"/>
      <c r="D3" s="45"/>
      <c r="G3" s="46" t="s">
        <v>14</v>
      </c>
      <c r="H3" s="47"/>
    </row>
    <row r="4" spans="2:8" x14ac:dyDescent="0.3">
      <c r="B4" s="36" t="s">
        <v>8</v>
      </c>
      <c r="C4" s="37"/>
      <c r="D4" s="38"/>
      <c r="G4" s="48"/>
      <c r="H4" s="49"/>
    </row>
    <row r="5" spans="2:8" ht="19.5" thickBot="1" x14ac:dyDescent="0.35">
      <c r="B5" s="36" t="s">
        <v>9</v>
      </c>
      <c r="C5" s="37"/>
      <c r="D5" s="38"/>
      <c r="G5" s="48"/>
      <c r="H5" s="49"/>
    </row>
    <row r="6" spans="2:8" x14ac:dyDescent="0.3">
      <c r="B6" s="36" t="s">
        <v>11</v>
      </c>
      <c r="C6" s="37"/>
      <c r="D6" s="38"/>
      <c r="G6" s="2" t="s">
        <v>17</v>
      </c>
      <c r="H6" s="3">
        <f ca="1">TODAY()</f>
        <v>45793</v>
      </c>
    </row>
    <row r="7" spans="2:8" ht="19.5" thickBot="1" x14ac:dyDescent="0.35">
      <c r="B7" s="30" t="s">
        <v>10</v>
      </c>
      <c r="C7" s="31"/>
      <c r="D7" s="32"/>
      <c r="G7" s="4" t="s">
        <v>16</v>
      </c>
      <c r="H7" s="5"/>
    </row>
    <row r="8" spans="2:8" x14ac:dyDescent="0.3">
      <c r="B8" s="33" t="s">
        <v>12</v>
      </c>
      <c r="C8" s="34"/>
      <c r="D8" s="35"/>
      <c r="G8" s="39" t="s">
        <v>15</v>
      </c>
      <c r="H8" s="40"/>
    </row>
    <row r="9" spans="2:8" x14ac:dyDescent="0.3">
      <c r="B9" s="36"/>
      <c r="C9" s="37"/>
      <c r="D9" s="38"/>
      <c r="G9" s="28">
        <f>B9</f>
        <v>0</v>
      </c>
      <c r="H9" s="29"/>
    </row>
    <row r="10" spans="2:8" x14ac:dyDescent="0.3">
      <c r="B10" s="36">
        <f>_xlfn.XLOOKUP($B$9,Sheet2!A2:A1048576,Sheet2!K2:K1048576)</f>
        <v>0</v>
      </c>
      <c r="C10" s="37"/>
      <c r="D10" s="38"/>
      <c r="G10" s="28">
        <f>B10</f>
        <v>0</v>
      </c>
      <c r="H10" s="29"/>
    </row>
    <row r="11" spans="2:8" x14ac:dyDescent="0.3">
      <c r="B11" s="36" cm="1">
        <f t="array" ref="B11">_xlfn.XLOOKUP($B$9,Sheet2!A2:A1048576,Sheet2!B2:$B1048576)</f>
        <v>0</v>
      </c>
      <c r="C11" s="37"/>
      <c r="D11" s="38"/>
      <c r="G11" s="28">
        <f>B11</f>
        <v>0</v>
      </c>
      <c r="H11" s="29"/>
    </row>
    <row r="12" spans="2:8" x14ac:dyDescent="0.3">
      <c r="B12" s="36">
        <f>_xlfn.XLOOKUP($B$9,Sheet2!A2:A1048576,Sheet2!$C$2:$C$1048576)</f>
        <v>0</v>
      </c>
      <c r="C12" s="37"/>
      <c r="D12" s="38"/>
      <c r="G12" s="28">
        <f>B12</f>
        <v>0</v>
      </c>
      <c r="H12" s="29"/>
    </row>
    <row r="13" spans="2:8" ht="19.5" thickBot="1" x14ac:dyDescent="0.35">
      <c r="B13" s="25">
        <f>_xlfn.XLOOKUP($B$9,Sheet2!A2:A1048576,Sheet2!$I$2:$I$1048576)</f>
        <v>0</v>
      </c>
      <c r="C13" s="26"/>
      <c r="D13" s="27"/>
      <c r="G13" s="20">
        <f>B13</f>
        <v>0</v>
      </c>
      <c r="H13" s="21"/>
    </row>
    <row r="15" spans="2:8" x14ac:dyDescent="0.3">
      <c r="B15" s="10" t="s">
        <v>0</v>
      </c>
      <c r="C15" s="10" t="s">
        <v>1</v>
      </c>
      <c r="D15" s="10" t="s">
        <v>2</v>
      </c>
      <c r="E15" s="10" t="s">
        <v>13</v>
      </c>
      <c r="F15" s="10" t="s">
        <v>3</v>
      </c>
      <c r="G15" s="10" t="s">
        <v>4</v>
      </c>
      <c r="H15" s="10" t="s">
        <v>5</v>
      </c>
    </row>
    <row r="16" spans="2:8" x14ac:dyDescent="0.3">
      <c r="B16" s="8"/>
      <c r="C16" s="8" t="str" cm="1">
        <f t="array" ref="C16">IF(B16="","",_xlfn.XLOOKUP($B16,Sheet2!P2:$P$1048576,Sheet2!R2:$R$1048576))</f>
        <v/>
      </c>
      <c r="D16" s="8" t="str" cm="1">
        <f t="array" ref="D16">IF(B16="","",_xlfn.XLOOKUP($B16,Sheet2!P2:$P$1048576,Sheet2!Q2:$Q$1048576))</f>
        <v/>
      </c>
      <c r="E16" s="8" t="str" cm="1">
        <f t="array" ref="E16">IF(B16="","",_xlfn.XLOOKUP($B16,Sheet2!P2:$P$1048576,Sheet2!T2:$T$1048576))</f>
        <v/>
      </c>
      <c r="F16" s="8"/>
      <c r="G16" s="8" t="str" cm="1">
        <f t="array" ref="G16">IF(B16="","",_xlfn.XLOOKUP($B16,Sheet2!P2:$P$1048576,Sheet2!S2:$S$1048576))</f>
        <v/>
      </c>
      <c r="H16" s="8" t="str">
        <f t="shared" ref="H16:H28" si="0">IF(B16="","",F16*G16)</f>
        <v/>
      </c>
    </row>
    <row r="17" spans="2:8" x14ac:dyDescent="0.3">
      <c r="B17" s="1"/>
      <c r="C17" s="8" t="str" cm="1">
        <f t="array" ref="C17">IF(B17="","",_xlfn.XLOOKUP($B17,Sheet2!P3:$P$1048576,Sheet2!R3:$R$1048576))</f>
        <v/>
      </c>
      <c r="D17" s="8" t="str" cm="1">
        <f t="array" ref="D17">IF(B17="","",_xlfn.XLOOKUP($B17,Sheet2!P3:$P$1048576,Sheet2!Q3:$Q$1048576))</f>
        <v/>
      </c>
      <c r="E17" s="8" t="str" cm="1">
        <f t="array" ref="E17">IF(B17="","",_xlfn.XLOOKUP($B17,Sheet2!P3:$P$1048576,Sheet2!T3:$T$1048576))</f>
        <v/>
      </c>
      <c r="F17" s="8"/>
      <c r="G17" s="8" t="str" cm="1">
        <f t="array" ref="G17">IF(B17="","",_xlfn.XLOOKUP($B17,Sheet2!P3:$P$1048576,Sheet2!S3:$S$1048576))</f>
        <v/>
      </c>
      <c r="H17" s="8" t="str">
        <f t="shared" si="0"/>
        <v/>
      </c>
    </row>
    <row r="18" spans="2:8" x14ac:dyDescent="0.3">
      <c r="B18" s="1"/>
      <c r="C18" s="8" t="str" cm="1">
        <f t="array" ref="C18">IF(B18="","",_xlfn.XLOOKUP($B18,Sheet2!P4:$P$1048576,Sheet2!R4:$R$1048576))</f>
        <v/>
      </c>
      <c r="D18" s="8" t="str" cm="1">
        <f t="array" ref="D18">IF(B18="","",_xlfn.XLOOKUP($B18,Sheet2!P4:$P$1048576,Sheet2!Q4:$Q$1048576))</f>
        <v/>
      </c>
      <c r="E18" s="8" t="str" cm="1">
        <f t="array" ref="E18">IF(B18="","",_xlfn.XLOOKUP($B18,Sheet2!P4:$P$1048576,Sheet2!T4:$T$1048576))</f>
        <v/>
      </c>
      <c r="F18" s="8"/>
      <c r="G18" s="8" t="str" cm="1">
        <f t="array" ref="G18">IF(B18="","",_xlfn.XLOOKUP($B18,Sheet2!P4:$P$1048576,Sheet2!S4:$S$1048576))</f>
        <v/>
      </c>
      <c r="H18" s="8" t="str">
        <f t="shared" si="0"/>
        <v/>
      </c>
    </row>
    <row r="19" spans="2:8" x14ac:dyDescent="0.3">
      <c r="B19" s="1"/>
      <c r="C19" s="8" t="str" cm="1">
        <f t="array" ref="C19">IF(B19="","",_xlfn.XLOOKUP($B19,Sheet2!P5:$P$1048576,Sheet2!R5:$R$1048576))</f>
        <v/>
      </c>
      <c r="D19" s="8" t="str" cm="1">
        <f t="array" ref="D19">IF(B19="","",_xlfn.XLOOKUP($B19,Sheet2!P5:$P$1048576,Sheet2!Q5:$Q$1048576))</f>
        <v/>
      </c>
      <c r="E19" s="8" t="str" cm="1">
        <f t="array" ref="E19">IF(B19="","",_xlfn.XLOOKUP($B19,Sheet2!P5:$P$1048576,Sheet2!T5:$T$1048576))</f>
        <v/>
      </c>
      <c r="F19" s="8"/>
      <c r="G19" s="8" t="str" cm="1">
        <f t="array" ref="G19">IF(B19="","",_xlfn.XLOOKUP($B19,Sheet2!P5:$P$1048576,Sheet2!S5:$S$1048576))</f>
        <v/>
      </c>
      <c r="H19" s="8" t="str">
        <f t="shared" si="0"/>
        <v/>
      </c>
    </row>
    <row r="20" spans="2:8" x14ac:dyDescent="0.3">
      <c r="B20" s="1"/>
      <c r="C20" s="8" t="str" cm="1">
        <f t="array" ref="C20">IF(B20="","",_xlfn.XLOOKUP($B20,Sheet2!P6:$P$1048576,Sheet2!R6:$R$1048576))</f>
        <v/>
      </c>
      <c r="D20" s="8" t="str" cm="1">
        <f t="array" ref="D20">IF(B20="","",_xlfn.XLOOKUP($B20,Sheet2!P6:$P$1048576,Sheet2!Q6:$Q$1048576))</f>
        <v/>
      </c>
      <c r="E20" s="8" t="str" cm="1">
        <f t="array" ref="E20">IF(B20="","",_xlfn.XLOOKUP($B20,Sheet2!P6:$P$1048576,Sheet2!T6:$T$1048576))</f>
        <v/>
      </c>
      <c r="F20" s="8"/>
      <c r="G20" s="8" t="str" cm="1">
        <f t="array" ref="G20">IF(B20="","",_xlfn.XLOOKUP($B20,Sheet2!P6:$P$1048576,Sheet2!S6:$S$1048576))</f>
        <v/>
      </c>
      <c r="H20" s="8" t="str">
        <f t="shared" si="0"/>
        <v/>
      </c>
    </row>
    <row r="21" spans="2:8" x14ac:dyDescent="0.3">
      <c r="B21" s="1"/>
      <c r="C21" s="8" t="str" cm="1">
        <f t="array" ref="C21">IF(B21="","",_xlfn.XLOOKUP($B21,Sheet2!P7:$P$1048576,Sheet2!R7:$R$1048576))</f>
        <v/>
      </c>
      <c r="D21" s="8" t="str" cm="1">
        <f t="array" ref="D21">IF(B21="","",_xlfn.XLOOKUP($B21,Sheet2!P7:$P$1048576,Sheet2!Q7:$Q$1048576))</f>
        <v/>
      </c>
      <c r="E21" s="8" t="str" cm="1">
        <f t="array" ref="E21">IF(B21="","",_xlfn.XLOOKUP($B21,Sheet2!P7:$P$1048576,Sheet2!T7:$T$1048576))</f>
        <v/>
      </c>
      <c r="F21" s="8"/>
      <c r="G21" s="8" t="str" cm="1">
        <f t="array" ref="G21">IF(B21="","",_xlfn.XLOOKUP($B21,Sheet2!P7:$P$1048576,Sheet2!S7:$S$1048576))</f>
        <v/>
      </c>
      <c r="H21" s="8" t="str">
        <f t="shared" si="0"/>
        <v/>
      </c>
    </row>
    <row r="22" spans="2:8" x14ac:dyDescent="0.3">
      <c r="B22" s="1"/>
      <c r="C22" s="8" t="str" cm="1">
        <f t="array" ref="C22">IF(B22="","",_xlfn.XLOOKUP($B22,Sheet2!P8:$P$1048576,Sheet2!R8:$R$1048576))</f>
        <v/>
      </c>
      <c r="D22" s="8" t="str" cm="1">
        <f t="array" ref="D22">IF(B22="","",_xlfn.XLOOKUP($B22,Sheet2!P8:$P$1048576,Sheet2!Q8:$Q$1048576))</f>
        <v/>
      </c>
      <c r="E22" s="8" t="str" cm="1">
        <f t="array" ref="E22">IF(B22="","",_xlfn.XLOOKUP($B22,Sheet2!P8:$P$1048576,Sheet2!T8:$T$1048576))</f>
        <v/>
      </c>
      <c r="F22" s="8"/>
      <c r="G22" s="8" t="str" cm="1">
        <f t="array" ref="G22">IF(B22="","",_xlfn.XLOOKUP($B22,Sheet2!P8:$P$1048576,Sheet2!S8:$S$1048576))</f>
        <v/>
      </c>
      <c r="H22" s="8" t="str">
        <f t="shared" si="0"/>
        <v/>
      </c>
    </row>
    <row r="23" spans="2:8" x14ac:dyDescent="0.3">
      <c r="B23" s="1"/>
      <c r="C23" s="8" t="str" cm="1">
        <f t="array" ref="C23">IF(B23="","",_xlfn.XLOOKUP($B23,Sheet2!P9:$P$1048576,Sheet2!R9:$R$1048576))</f>
        <v/>
      </c>
      <c r="D23" s="8" t="str" cm="1">
        <f t="array" ref="D23">IF(B23="","",_xlfn.XLOOKUP($B23,Sheet2!P9:$P$1048576,Sheet2!Q9:$Q$1048576))</f>
        <v/>
      </c>
      <c r="E23" s="8" t="str" cm="1">
        <f t="array" ref="E23">IF(B23="","",_xlfn.XLOOKUP($B23,Sheet2!P9:$P$1048576,Sheet2!T9:$T$1048576))</f>
        <v/>
      </c>
      <c r="F23" s="8"/>
      <c r="G23" s="8" t="str" cm="1">
        <f t="array" ref="G23">IF(B23="","",_xlfn.XLOOKUP($B23,Sheet2!P9:$P$1048576,Sheet2!S9:$S$1048576))</f>
        <v/>
      </c>
      <c r="H23" s="8" t="str">
        <f t="shared" si="0"/>
        <v/>
      </c>
    </row>
    <row r="24" spans="2:8" x14ac:dyDescent="0.3">
      <c r="B24" s="1"/>
      <c r="C24" s="8" t="str" cm="1">
        <f t="array" ref="C24">IF(B24="","",_xlfn.XLOOKUP($B24,Sheet2!P10:$P$1048576,Sheet2!R10:$R$1048576))</f>
        <v/>
      </c>
      <c r="D24" s="8" t="str" cm="1">
        <f t="array" ref="D24">IF(B24="","",_xlfn.XLOOKUP($B24,Sheet2!P10:$P$1048576,Sheet2!Q10:$Q$1048576))</f>
        <v/>
      </c>
      <c r="E24" s="8" t="str" cm="1">
        <f t="array" ref="E24">IF(B24="","",_xlfn.XLOOKUP($B24,Sheet2!P10:$P$1048576,Sheet2!T10:$T$1048576))</f>
        <v/>
      </c>
      <c r="F24" s="8"/>
      <c r="G24" s="8" t="str" cm="1">
        <f t="array" ref="G24">IF(B24="","",_xlfn.XLOOKUP($B24,Sheet2!P10:$P$1048576,Sheet2!S10:$S$1048576))</f>
        <v/>
      </c>
      <c r="H24" s="8" t="str">
        <f t="shared" si="0"/>
        <v/>
      </c>
    </row>
    <row r="25" spans="2:8" x14ac:dyDescent="0.3">
      <c r="B25" s="1"/>
      <c r="C25" s="8" t="str" cm="1">
        <f t="array" ref="C25">IF(B25="","",_xlfn.XLOOKUP($B25,Sheet2!P11:$P$1048576,Sheet2!R11:$R$1048576))</f>
        <v/>
      </c>
      <c r="D25" s="8" t="str" cm="1">
        <f t="array" ref="D25">IF(B25="","",_xlfn.XLOOKUP($B25,Sheet2!P11:$P$1048576,Sheet2!Q11:$Q$1048576))</f>
        <v/>
      </c>
      <c r="E25" s="8" t="str" cm="1">
        <f t="array" ref="E25">IF(B25="","",_xlfn.XLOOKUP($B25,Sheet2!P11:$P$1048576,Sheet2!T11:$T$1048576))</f>
        <v/>
      </c>
      <c r="F25" s="8"/>
      <c r="G25" s="8" t="str" cm="1">
        <f t="array" ref="G25">IF(B25="","",_xlfn.XLOOKUP($B25,Sheet2!P11:$P$1048576,Sheet2!S11:$S$1048576))</f>
        <v/>
      </c>
      <c r="H25" s="8" t="str">
        <f t="shared" si="0"/>
        <v/>
      </c>
    </row>
    <row r="26" spans="2:8" x14ac:dyDescent="0.3">
      <c r="B26" s="1"/>
      <c r="C26" s="8" t="str" cm="1">
        <f t="array" ref="C26">IF(B26="","",_xlfn.XLOOKUP($B26,Sheet2!P12:$P$1048576,Sheet2!R12:$R$1048576))</f>
        <v/>
      </c>
      <c r="D26" s="8" t="str" cm="1">
        <f t="array" ref="D26">IF(B26="","",_xlfn.XLOOKUP($B26,Sheet2!P12:$P$1048576,Sheet2!Q12:$Q$1048576))</f>
        <v/>
      </c>
      <c r="E26" s="8" t="str" cm="1">
        <f t="array" ref="E26">IF(B26="","",_xlfn.XLOOKUP($B26,Sheet2!P12:$P$1048576,Sheet2!T12:$T$1048576))</f>
        <v/>
      </c>
      <c r="F26" s="8"/>
      <c r="G26" s="8" t="str" cm="1">
        <f t="array" ref="G26">IF(B26="","",_xlfn.XLOOKUP($B26,Sheet2!P12:$P$1048576,Sheet2!S12:$S$1048576))</f>
        <v/>
      </c>
      <c r="H26" s="8" t="str">
        <f t="shared" si="0"/>
        <v/>
      </c>
    </row>
    <row r="27" spans="2:8" x14ac:dyDescent="0.3">
      <c r="B27" s="1"/>
      <c r="C27" s="8" t="str" cm="1">
        <f t="array" ref="C27">IF(B27="","",_xlfn.XLOOKUP($B27,Sheet2!P13:$P$1048576,Sheet2!R13:$R$1048576))</f>
        <v/>
      </c>
      <c r="D27" s="8" t="str" cm="1">
        <f t="array" ref="D27">IF(B27="","",_xlfn.XLOOKUP($B27,Sheet2!P13:$P$1048576,Sheet2!Q13:$Q$1048576))</f>
        <v/>
      </c>
      <c r="E27" s="8" t="str" cm="1">
        <f t="array" ref="E27">IF(B27="","",_xlfn.XLOOKUP($B27,Sheet2!P13:$P$1048576,Sheet2!T13:$T$1048576))</f>
        <v/>
      </c>
      <c r="F27" s="8"/>
      <c r="G27" s="8" t="str" cm="1">
        <f t="array" ref="G27">IF(B27="","",_xlfn.XLOOKUP($B27,Sheet2!P13:$P$1048576,Sheet2!S13:$S$1048576))</f>
        <v/>
      </c>
      <c r="H27" s="8" t="str">
        <f t="shared" si="0"/>
        <v/>
      </c>
    </row>
    <row r="28" spans="2:8" x14ac:dyDescent="0.3">
      <c r="B28" s="1"/>
      <c r="C28" s="8" t="str" cm="1">
        <f t="array" ref="C28">IF(B28="","",_xlfn.XLOOKUP($B28,Sheet2!P14:$P$1048576,Sheet2!R14:$R$1048576))</f>
        <v/>
      </c>
      <c r="D28" s="8" t="str" cm="1">
        <f t="array" ref="D28">IF(B28="","",_xlfn.XLOOKUP($B28,Sheet2!P14:$P$1048576,Sheet2!Q14:$Q$1048576))</f>
        <v/>
      </c>
      <c r="E28" s="8" t="str" cm="1">
        <f t="array" ref="E28">IF(B28="","",_xlfn.XLOOKUP($B28,Sheet2!P14:$P$1048576,Sheet2!T14:$T$1048576))</f>
        <v/>
      </c>
      <c r="F28" s="8"/>
      <c r="G28" s="8" t="str" cm="1">
        <f t="array" ref="G28">IF(B28="","",_xlfn.XLOOKUP($B28,Sheet2!P14:$P$1048576,Sheet2!S14:$S$1048576))</f>
        <v/>
      </c>
      <c r="H28" s="8" t="str">
        <f t="shared" si="0"/>
        <v/>
      </c>
    </row>
    <row r="29" spans="2:8" x14ac:dyDescent="0.3">
      <c r="B29" s="22" t="s">
        <v>18</v>
      </c>
      <c r="C29" s="23"/>
      <c r="D29" s="23"/>
      <c r="E29" s="23"/>
      <c r="F29" s="23"/>
      <c r="G29" s="23"/>
      <c r="H29" s="1">
        <f>SUM(H16:H28)</f>
        <v>0</v>
      </c>
    </row>
    <row r="30" spans="2:8" x14ac:dyDescent="0.3">
      <c r="B30" s="23" t="s">
        <v>19</v>
      </c>
      <c r="C30" s="23"/>
      <c r="D30" s="24">
        <v>0.05</v>
      </c>
      <c r="E30" s="23"/>
      <c r="F30" s="23"/>
      <c r="G30" s="23"/>
      <c r="H30" s="1">
        <f>H29*D30</f>
        <v>0</v>
      </c>
    </row>
    <row r="31" spans="2:8" x14ac:dyDescent="0.3">
      <c r="B31" s="23" t="s">
        <v>20</v>
      </c>
      <c r="C31" s="23"/>
      <c r="D31" s="23"/>
      <c r="E31" s="23"/>
      <c r="F31" s="23"/>
      <c r="G31" s="23"/>
      <c r="H31" s="1">
        <f>H29-H30</f>
        <v>0</v>
      </c>
    </row>
    <row r="32" spans="2:8" x14ac:dyDescent="0.3">
      <c r="B32" s="23" t="s">
        <v>21</v>
      </c>
      <c r="C32" s="23"/>
      <c r="D32" s="24">
        <v>0.28000000000000003</v>
      </c>
      <c r="E32" s="23"/>
      <c r="F32" s="23"/>
      <c r="G32" s="23"/>
      <c r="H32" s="1">
        <f>H31*D32</f>
        <v>0</v>
      </c>
    </row>
    <row r="33" spans="2:8" x14ac:dyDescent="0.3">
      <c r="B33" s="12" t="s">
        <v>22</v>
      </c>
      <c r="C33" s="13"/>
      <c r="D33" s="13"/>
      <c r="E33" s="13"/>
      <c r="F33" s="13"/>
      <c r="G33" s="13"/>
      <c r="H33" s="11">
        <f>H31+H32</f>
        <v>0</v>
      </c>
    </row>
    <row r="36" spans="2:8" ht="19.5" thickBot="1" x14ac:dyDescent="0.35"/>
    <row r="37" spans="2:8" x14ac:dyDescent="0.3">
      <c r="B37" s="2" t="s">
        <v>23</v>
      </c>
      <c r="C37" s="9"/>
      <c r="G37" s="14" t="s">
        <v>28</v>
      </c>
      <c r="H37" s="15"/>
    </row>
    <row r="38" spans="2:8" x14ac:dyDescent="0.3">
      <c r="B38" s="6" t="s">
        <v>24</v>
      </c>
      <c r="C38" s="7"/>
      <c r="G38" s="16"/>
      <c r="H38" s="17"/>
    </row>
    <row r="39" spans="2:8" x14ac:dyDescent="0.3">
      <c r="B39" s="6" t="s">
        <v>25</v>
      </c>
      <c r="C39" s="7"/>
      <c r="G39" s="16"/>
      <c r="H39" s="17"/>
    </row>
    <row r="40" spans="2:8" x14ac:dyDescent="0.3">
      <c r="B40" s="6" t="s">
        <v>26</v>
      </c>
      <c r="C40" s="7"/>
      <c r="G40" s="16"/>
      <c r="H40" s="17"/>
    </row>
    <row r="41" spans="2:8" ht="19.5" thickBot="1" x14ac:dyDescent="0.35">
      <c r="B41" s="4" t="s">
        <v>27</v>
      </c>
      <c r="C41" s="5"/>
      <c r="G41" s="18"/>
      <c r="H41" s="19"/>
    </row>
  </sheetData>
  <mergeCells count="27">
    <mergeCell ref="B1:H1"/>
    <mergeCell ref="B3:D3"/>
    <mergeCell ref="B4:D4"/>
    <mergeCell ref="B5:D5"/>
    <mergeCell ref="B6:D6"/>
    <mergeCell ref="G3:H5"/>
    <mergeCell ref="G12:H12"/>
    <mergeCell ref="B7:D7"/>
    <mergeCell ref="B8:D8"/>
    <mergeCell ref="B9:D9"/>
    <mergeCell ref="B10:D10"/>
    <mergeCell ref="B11:D11"/>
    <mergeCell ref="B12:D12"/>
    <mergeCell ref="G8:H8"/>
    <mergeCell ref="G9:H9"/>
    <mergeCell ref="G10:H10"/>
    <mergeCell ref="G11:H11"/>
    <mergeCell ref="B33:G33"/>
    <mergeCell ref="G37:H41"/>
    <mergeCell ref="G13:H13"/>
    <mergeCell ref="B29:G29"/>
    <mergeCell ref="B30:C30"/>
    <mergeCell ref="D30:G30"/>
    <mergeCell ref="B31:G31"/>
    <mergeCell ref="B32:C32"/>
    <mergeCell ref="D32:G32"/>
    <mergeCell ref="B13:D13"/>
  </mergeCells>
  <phoneticPr fontId="4" type="noConversion"/>
  <dataValidations count="2">
    <dataValidation type="list" allowBlank="1" showInputMessage="1" showErrorMessage="1" sqref="D30:G30" xr:uid="{84C22223-1F96-4EB1-9FCA-56E751EBD460}">
      <formula1>"5%,10%,15%,20%,25%,30%"</formula1>
    </dataValidation>
    <dataValidation type="list" allowBlank="1" showInputMessage="1" showErrorMessage="1" sqref="D32:G32" xr:uid="{214D86C3-E2F1-4EB5-B3ED-88C44FACD4E3}">
      <formula1>"0%,5%,12%,18%,28%"</formula1>
    </dataValidation>
  </dataValidations>
  <pageMargins left="0.25" right="0.25" top="0.75" bottom="0.75" header="0.3" footer="0.3"/>
  <pageSetup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Macro1">
                <anchor moveWithCells="1" sizeWithCells="1">
                  <from>
                    <xdr:col>8</xdr:col>
                    <xdr:colOff>723900</xdr:colOff>
                    <xdr:row>10</xdr:row>
                    <xdr:rowOff>28575</xdr:rowOff>
                  </from>
                  <to>
                    <xdr:col>11</xdr:col>
                    <xdr:colOff>800100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aveToPDF">
                <anchor moveWithCells="1" sizeWithCells="1">
                  <from>
                    <xdr:col>8</xdr:col>
                    <xdr:colOff>733425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PrintPreviewInvoice">
                <anchor moveWithCells="1" sizeWithCells="1">
                  <from>
                    <xdr:col>8</xdr:col>
                    <xdr:colOff>723900</xdr:colOff>
                    <xdr:row>6</xdr:row>
                    <xdr:rowOff>28575</xdr:rowOff>
                  </from>
                  <to>
                    <xdr:col>12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524F21-7B0A-49D2-BBF5-A23FEA0459BF}">
          <x14:formula1>
            <xm:f>Sheet2!$A$2:$A$1048576</xm:f>
          </x14:formula1>
          <xm:sqref>B9:D9</xm:sqref>
        </x14:dataValidation>
        <x14:dataValidation type="list" allowBlank="1" showInputMessage="1" showErrorMessage="1" xr:uid="{4DBA0787-6D4D-4B1A-8AF1-375CCC7F49B7}">
          <x14:formula1>
            <xm:f>Sheet2!$P$2:$P$1048576</xm:f>
          </x14:formula1>
          <xm:sqref>B16:B28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D13C7-AF50-45BD-B824-3916A38CB1AB}">
  <sheetPr codeName="Sheet2"/>
  <dimension ref="A1:T101"/>
  <sheetViews>
    <sheetView topLeftCell="L1" workbookViewId="0">
      <selection activeCell="R7" sqref="R7"/>
    </sheetView>
  </sheetViews>
  <sheetFormatPr defaultRowHeight="18.75" x14ac:dyDescent="0.3"/>
  <cols>
    <col min="1" max="1" width="10.09765625" bestFit="1" customWidth="1"/>
    <col min="2" max="2" width="12.69921875" bestFit="1" customWidth="1"/>
    <col min="3" max="3" width="11.8984375" bestFit="1" customWidth="1"/>
    <col min="4" max="4" width="6.19921875" bestFit="1" customWidth="1"/>
    <col min="5" max="5" width="6.09765625" bestFit="1" customWidth="1"/>
    <col min="6" max="6" width="10" bestFit="1" customWidth="1"/>
    <col min="7" max="7" width="6.8984375" bestFit="1" customWidth="1"/>
    <col min="8" max="8" width="12.5" bestFit="1" customWidth="1"/>
    <col min="9" max="9" width="12.296875" bestFit="1" customWidth="1"/>
    <col min="10" max="10" width="20.09765625" bestFit="1" customWidth="1"/>
    <col min="11" max="11" width="17.296875" bestFit="1" customWidth="1"/>
    <col min="12" max="12" width="11.19921875" bestFit="1" customWidth="1"/>
    <col min="13" max="13" width="11.59765625" bestFit="1" customWidth="1"/>
    <col min="14" max="14" width="12.3984375" bestFit="1" customWidth="1"/>
    <col min="15" max="15" width="9.8984375" bestFit="1" customWidth="1"/>
    <col min="16" max="16" width="11.296875" bestFit="1" customWidth="1"/>
    <col min="17" max="17" width="4.796875" bestFit="1" customWidth="1"/>
    <col min="18" max="18" width="34.59765625" bestFit="1" customWidth="1"/>
    <col min="19" max="19" width="7.8984375" bestFit="1" customWidth="1"/>
  </cols>
  <sheetData>
    <row r="1" spans="1:20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780</v>
      </c>
      <c r="Q1" t="s">
        <v>2</v>
      </c>
      <c r="R1" t="s">
        <v>781</v>
      </c>
      <c r="S1" t="s">
        <v>782</v>
      </c>
      <c r="T1" t="s">
        <v>983</v>
      </c>
    </row>
    <row r="2" spans="1:20" x14ac:dyDescent="0.3">
      <c r="A2" t="s">
        <v>44</v>
      </c>
      <c r="B2" t="s">
        <v>45</v>
      </c>
      <c r="C2" t="s">
        <v>46</v>
      </c>
      <c r="D2" t="s">
        <v>47</v>
      </c>
      <c r="E2" t="s">
        <v>48</v>
      </c>
      <c r="F2">
        <v>100001</v>
      </c>
      <c r="G2" t="s">
        <v>49</v>
      </c>
      <c r="H2" t="s">
        <v>50</v>
      </c>
      <c r="I2">
        <v>91000000001</v>
      </c>
      <c r="J2" t="s">
        <v>51</v>
      </c>
      <c r="K2" t="s">
        <v>52</v>
      </c>
      <c r="L2" t="s">
        <v>53</v>
      </c>
      <c r="M2" t="s">
        <v>54</v>
      </c>
      <c r="N2" t="s">
        <v>55</v>
      </c>
      <c r="O2" t="s">
        <v>56</v>
      </c>
      <c r="P2" t="s">
        <v>783</v>
      </c>
      <c r="Q2">
        <v>1001</v>
      </c>
      <c r="R2" t="s">
        <v>784</v>
      </c>
      <c r="S2">
        <v>200</v>
      </c>
      <c r="T2" t="s">
        <v>984</v>
      </c>
    </row>
    <row r="3" spans="1:2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>
        <v>100002</v>
      </c>
      <c r="G3" t="s">
        <v>49</v>
      </c>
      <c r="H3" t="s">
        <v>62</v>
      </c>
      <c r="I3">
        <v>91000000002</v>
      </c>
      <c r="J3" t="s">
        <v>63</v>
      </c>
      <c r="K3" t="s">
        <v>64</v>
      </c>
      <c r="L3" t="s">
        <v>65</v>
      </c>
      <c r="M3" t="s">
        <v>66</v>
      </c>
      <c r="N3" t="s">
        <v>67</v>
      </c>
      <c r="O3" t="s">
        <v>68</v>
      </c>
      <c r="P3" t="s">
        <v>785</v>
      </c>
      <c r="Q3">
        <v>1002</v>
      </c>
      <c r="R3" t="s">
        <v>786</v>
      </c>
      <c r="S3">
        <v>300</v>
      </c>
      <c r="T3" t="s">
        <v>984</v>
      </c>
    </row>
    <row r="4" spans="1:20" x14ac:dyDescent="0.3">
      <c r="A4" t="s">
        <v>69</v>
      </c>
      <c r="B4" t="s">
        <v>70</v>
      </c>
      <c r="C4" t="s">
        <v>71</v>
      </c>
      <c r="D4" t="s">
        <v>72</v>
      </c>
      <c r="E4" t="s">
        <v>73</v>
      </c>
      <c r="F4">
        <v>100003</v>
      </c>
      <c r="G4" t="s">
        <v>49</v>
      </c>
      <c r="H4" t="s">
        <v>74</v>
      </c>
      <c r="I4">
        <v>91000000003</v>
      </c>
      <c r="J4" t="s">
        <v>75</v>
      </c>
      <c r="K4" t="s">
        <v>76</v>
      </c>
      <c r="L4" t="s">
        <v>77</v>
      </c>
      <c r="M4" t="s">
        <v>78</v>
      </c>
      <c r="N4" t="s">
        <v>79</v>
      </c>
      <c r="O4" t="s">
        <v>80</v>
      </c>
      <c r="P4" t="s">
        <v>787</v>
      </c>
      <c r="Q4">
        <v>1003</v>
      </c>
      <c r="R4" t="s">
        <v>788</v>
      </c>
      <c r="S4">
        <v>201</v>
      </c>
      <c r="T4" t="s">
        <v>984</v>
      </c>
    </row>
    <row r="5" spans="1:20" x14ac:dyDescent="0.3">
      <c r="A5" t="s">
        <v>81</v>
      </c>
      <c r="B5" t="s">
        <v>82</v>
      </c>
      <c r="C5" t="s">
        <v>83</v>
      </c>
      <c r="D5" t="s">
        <v>84</v>
      </c>
      <c r="E5" t="s">
        <v>85</v>
      </c>
      <c r="F5">
        <v>100004</v>
      </c>
      <c r="G5" t="s">
        <v>49</v>
      </c>
      <c r="H5" t="s">
        <v>86</v>
      </c>
      <c r="I5">
        <v>91000000004</v>
      </c>
      <c r="J5" t="s">
        <v>87</v>
      </c>
      <c r="K5" t="s">
        <v>88</v>
      </c>
      <c r="L5" t="s">
        <v>89</v>
      </c>
      <c r="M5" t="s">
        <v>90</v>
      </c>
      <c r="N5" t="s">
        <v>91</v>
      </c>
      <c r="O5" t="s">
        <v>92</v>
      </c>
      <c r="P5" t="s">
        <v>789</v>
      </c>
      <c r="Q5">
        <v>1004</v>
      </c>
      <c r="R5" t="s">
        <v>790</v>
      </c>
      <c r="S5">
        <v>205</v>
      </c>
      <c r="T5" t="s">
        <v>984</v>
      </c>
    </row>
    <row r="6" spans="1:20" x14ac:dyDescent="0.3">
      <c r="A6" t="s">
        <v>93</v>
      </c>
      <c r="B6" t="s">
        <v>94</v>
      </c>
      <c r="C6" t="s">
        <v>95</v>
      </c>
      <c r="D6" t="s">
        <v>96</v>
      </c>
      <c r="E6" t="s">
        <v>97</v>
      </c>
      <c r="F6">
        <v>100005</v>
      </c>
      <c r="G6" t="s">
        <v>49</v>
      </c>
      <c r="H6" t="s">
        <v>98</v>
      </c>
      <c r="I6">
        <v>91000000005</v>
      </c>
      <c r="J6" t="s">
        <v>99</v>
      </c>
      <c r="K6" t="s">
        <v>100</v>
      </c>
      <c r="L6" t="s">
        <v>101</v>
      </c>
      <c r="M6" t="s">
        <v>102</v>
      </c>
      <c r="N6" t="s">
        <v>103</v>
      </c>
      <c r="O6" t="s">
        <v>104</v>
      </c>
      <c r="P6" t="s">
        <v>791</v>
      </c>
      <c r="Q6">
        <v>1005</v>
      </c>
      <c r="R6" t="s">
        <v>792</v>
      </c>
      <c r="S6">
        <v>206</v>
      </c>
      <c r="T6" t="s">
        <v>984</v>
      </c>
    </row>
    <row r="7" spans="1:20" x14ac:dyDescent="0.3">
      <c r="A7" t="s">
        <v>105</v>
      </c>
      <c r="B7" t="s">
        <v>106</v>
      </c>
      <c r="C7" t="s">
        <v>107</v>
      </c>
      <c r="D7" t="s">
        <v>108</v>
      </c>
      <c r="E7" t="s">
        <v>48</v>
      </c>
      <c r="F7">
        <v>100006</v>
      </c>
      <c r="G7" t="s">
        <v>49</v>
      </c>
      <c r="H7" t="s">
        <v>109</v>
      </c>
      <c r="I7">
        <v>91000000006</v>
      </c>
      <c r="J7" t="s">
        <v>110</v>
      </c>
      <c r="K7" t="s">
        <v>111</v>
      </c>
      <c r="L7" t="s">
        <v>112</v>
      </c>
      <c r="M7" t="s">
        <v>54</v>
      </c>
      <c r="N7" t="s">
        <v>55</v>
      </c>
      <c r="O7" t="s">
        <v>113</v>
      </c>
      <c r="P7" t="s">
        <v>793</v>
      </c>
      <c r="Q7">
        <v>1006</v>
      </c>
      <c r="R7" t="s">
        <v>794</v>
      </c>
      <c r="S7">
        <v>207</v>
      </c>
      <c r="T7" t="s">
        <v>984</v>
      </c>
    </row>
    <row r="8" spans="1:20" x14ac:dyDescent="0.3">
      <c r="A8" t="s">
        <v>114</v>
      </c>
      <c r="B8" t="s">
        <v>115</v>
      </c>
      <c r="C8" t="s">
        <v>116</v>
      </c>
      <c r="D8" t="s">
        <v>117</v>
      </c>
      <c r="E8" t="s">
        <v>61</v>
      </c>
      <c r="F8">
        <v>100007</v>
      </c>
      <c r="G8" t="s">
        <v>49</v>
      </c>
      <c r="H8" t="s">
        <v>118</v>
      </c>
      <c r="I8">
        <v>91000000007</v>
      </c>
      <c r="J8" t="s">
        <v>119</v>
      </c>
      <c r="K8" t="s">
        <v>120</v>
      </c>
      <c r="L8" t="s">
        <v>121</v>
      </c>
      <c r="M8" t="s">
        <v>66</v>
      </c>
      <c r="N8" t="s">
        <v>67</v>
      </c>
      <c r="O8" t="s">
        <v>122</v>
      </c>
      <c r="P8" t="s">
        <v>795</v>
      </c>
      <c r="Q8">
        <v>1007</v>
      </c>
      <c r="R8" t="s">
        <v>796</v>
      </c>
      <c r="S8">
        <v>208</v>
      </c>
      <c r="T8" t="s">
        <v>984</v>
      </c>
    </row>
    <row r="9" spans="1:20" x14ac:dyDescent="0.3">
      <c r="A9" t="s">
        <v>123</v>
      </c>
      <c r="B9" t="s">
        <v>124</v>
      </c>
      <c r="C9" t="s">
        <v>125</v>
      </c>
      <c r="D9" t="s">
        <v>126</v>
      </c>
      <c r="E9" t="s">
        <v>73</v>
      </c>
      <c r="F9">
        <v>100008</v>
      </c>
      <c r="G9" t="s">
        <v>49</v>
      </c>
      <c r="H9" t="s">
        <v>127</v>
      </c>
      <c r="I9">
        <v>91000000008</v>
      </c>
      <c r="J9" t="s">
        <v>128</v>
      </c>
      <c r="K9" t="s">
        <v>129</v>
      </c>
      <c r="L9" t="s">
        <v>130</v>
      </c>
      <c r="M9" t="s">
        <v>78</v>
      </c>
      <c r="N9" t="s">
        <v>79</v>
      </c>
      <c r="O9" t="s">
        <v>131</v>
      </c>
      <c r="P9" t="s">
        <v>797</v>
      </c>
      <c r="Q9">
        <v>1008</v>
      </c>
      <c r="R9" t="s">
        <v>798</v>
      </c>
      <c r="S9">
        <v>209</v>
      </c>
      <c r="T9" t="s">
        <v>984</v>
      </c>
    </row>
    <row r="10" spans="1:20" x14ac:dyDescent="0.3">
      <c r="A10" t="s">
        <v>132</v>
      </c>
      <c r="B10" t="s">
        <v>133</v>
      </c>
      <c r="C10" t="s">
        <v>134</v>
      </c>
      <c r="D10" t="s">
        <v>135</v>
      </c>
      <c r="E10" t="s">
        <v>85</v>
      </c>
      <c r="F10">
        <v>100009</v>
      </c>
      <c r="G10" t="s">
        <v>49</v>
      </c>
      <c r="H10" t="s">
        <v>136</v>
      </c>
      <c r="I10">
        <v>91000000009</v>
      </c>
      <c r="J10" t="s">
        <v>137</v>
      </c>
      <c r="K10" t="s">
        <v>138</v>
      </c>
      <c r="L10" t="s">
        <v>139</v>
      </c>
      <c r="M10" t="s">
        <v>90</v>
      </c>
      <c r="N10" t="s">
        <v>91</v>
      </c>
      <c r="O10" t="s">
        <v>140</v>
      </c>
      <c r="P10" t="s">
        <v>799</v>
      </c>
      <c r="Q10">
        <v>1009</v>
      </c>
      <c r="R10" t="s">
        <v>800</v>
      </c>
      <c r="S10">
        <v>210</v>
      </c>
      <c r="T10" t="s">
        <v>984</v>
      </c>
    </row>
    <row r="11" spans="1:20" x14ac:dyDescent="0.3">
      <c r="A11" t="s">
        <v>141</v>
      </c>
      <c r="B11" t="s">
        <v>142</v>
      </c>
      <c r="C11" t="s">
        <v>143</v>
      </c>
      <c r="D11" t="s">
        <v>144</v>
      </c>
      <c r="E11" t="s">
        <v>97</v>
      </c>
      <c r="F11">
        <v>100010</v>
      </c>
      <c r="G11" t="s">
        <v>49</v>
      </c>
      <c r="H11" t="s">
        <v>145</v>
      </c>
      <c r="I11">
        <v>91000000010</v>
      </c>
      <c r="J11" t="s">
        <v>146</v>
      </c>
      <c r="K11" t="s">
        <v>147</v>
      </c>
      <c r="L11" t="s">
        <v>148</v>
      </c>
      <c r="M11" t="s">
        <v>102</v>
      </c>
      <c r="N11" t="s">
        <v>103</v>
      </c>
      <c r="O11" t="s">
        <v>149</v>
      </c>
      <c r="P11" t="s">
        <v>801</v>
      </c>
      <c r="Q11">
        <v>1010</v>
      </c>
      <c r="R11" t="s">
        <v>802</v>
      </c>
      <c r="S11">
        <v>211</v>
      </c>
      <c r="T11" t="s">
        <v>984</v>
      </c>
    </row>
    <row r="12" spans="1:20" x14ac:dyDescent="0.3">
      <c r="A12" t="s">
        <v>150</v>
      </c>
      <c r="B12" t="s">
        <v>151</v>
      </c>
      <c r="C12" t="s">
        <v>152</v>
      </c>
      <c r="D12" t="s">
        <v>47</v>
      </c>
      <c r="E12" t="s">
        <v>48</v>
      </c>
      <c r="F12">
        <v>100011</v>
      </c>
      <c r="G12" t="s">
        <v>49</v>
      </c>
      <c r="H12" t="s">
        <v>153</v>
      </c>
      <c r="I12">
        <v>91000000011</v>
      </c>
      <c r="J12" t="s">
        <v>154</v>
      </c>
      <c r="K12" t="s">
        <v>155</v>
      </c>
      <c r="L12" t="s">
        <v>156</v>
      </c>
      <c r="M12" t="s">
        <v>54</v>
      </c>
      <c r="N12" t="s">
        <v>55</v>
      </c>
      <c r="O12" t="s">
        <v>56</v>
      </c>
      <c r="P12" t="s">
        <v>803</v>
      </c>
      <c r="Q12">
        <v>1011</v>
      </c>
      <c r="R12" t="s">
        <v>804</v>
      </c>
      <c r="S12">
        <v>212</v>
      </c>
      <c r="T12" t="s">
        <v>984</v>
      </c>
    </row>
    <row r="13" spans="1:20" x14ac:dyDescent="0.3">
      <c r="A13" t="s">
        <v>157</v>
      </c>
      <c r="B13" t="s">
        <v>158</v>
      </c>
      <c r="C13" t="s">
        <v>159</v>
      </c>
      <c r="D13" t="s">
        <v>60</v>
      </c>
      <c r="E13" t="s">
        <v>61</v>
      </c>
      <c r="F13">
        <v>100012</v>
      </c>
      <c r="G13" t="s">
        <v>49</v>
      </c>
      <c r="H13" t="s">
        <v>160</v>
      </c>
      <c r="I13">
        <v>91000000012</v>
      </c>
      <c r="J13" t="s">
        <v>161</v>
      </c>
      <c r="K13" t="s">
        <v>162</v>
      </c>
      <c r="L13" t="s">
        <v>163</v>
      </c>
      <c r="M13" t="s">
        <v>66</v>
      </c>
      <c r="N13" t="s">
        <v>67</v>
      </c>
      <c r="O13" t="s">
        <v>68</v>
      </c>
      <c r="P13" t="s">
        <v>805</v>
      </c>
      <c r="Q13">
        <v>1012</v>
      </c>
      <c r="R13" t="s">
        <v>806</v>
      </c>
      <c r="S13">
        <v>213</v>
      </c>
      <c r="T13" t="s">
        <v>984</v>
      </c>
    </row>
    <row r="14" spans="1:20" x14ac:dyDescent="0.3">
      <c r="A14" t="s">
        <v>164</v>
      </c>
      <c r="B14" t="s">
        <v>165</v>
      </c>
      <c r="C14" t="s">
        <v>166</v>
      </c>
      <c r="D14" t="s">
        <v>72</v>
      </c>
      <c r="E14" t="s">
        <v>73</v>
      </c>
      <c r="F14">
        <v>100013</v>
      </c>
      <c r="G14" t="s">
        <v>49</v>
      </c>
      <c r="H14" t="s">
        <v>167</v>
      </c>
      <c r="I14">
        <v>91000000013</v>
      </c>
      <c r="J14" t="s">
        <v>168</v>
      </c>
      <c r="K14" t="s">
        <v>169</v>
      </c>
      <c r="L14" t="s">
        <v>170</v>
      </c>
      <c r="M14" t="s">
        <v>78</v>
      </c>
      <c r="N14" t="s">
        <v>79</v>
      </c>
      <c r="O14" t="s">
        <v>80</v>
      </c>
      <c r="P14" t="s">
        <v>807</v>
      </c>
      <c r="Q14">
        <v>1013</v>
      </c>
      <c r="R14" t="s">
        <v>808</v>
      </c>
      <c r="S14">
        <v>214</v>
      </c>
      <c r="T14" t="s">
        <v>984</v>
      </c>
    </row>
    <row r="15" spans="1:20" x14ac:dyDescent="0.3">
      <c r="A15" t="s">
        <v>171</v>
      </c>
      <c r="B15" t="s">
        <v>172</v>
      </c>
      <c r="C15" t="s">
        <v>173</v>
      </c>
      <c r="D15" t="s">
        <v>84</v>
      </c>
      <c r="E15" t="s">
        <v>85</v>
      </c>
      <c r="F15">
        <v>100014</v>
      </c>
      <c r="G15" t="s">
        <v>49</v>
      </c>
      <c r="H15" t="s">
        <v>174</v>
      </c>
      <c r="I15">
        <v>91000000014</v>
      </c>
      <c r="J15" t="s">
        <v>175</v>
      </c>
      <c r="K15" t="s">
        <v>176</v>
      </c>
      <c r="L15" t="s">
        <v>177</v>
      </c>
      <c r="M15" t="s">
        <v>90</v>
      </c>
      <c r="N15" t="s">
        <v>91</v>
      </c>
      <c r="O15" t="s">
        <v>92</v>
      </c>
      <c r="P15" t="s">
        <v>809</v>
      </c>
      <c r="Q15">
        <v>1014</v>
      </c>
      <c r="R15" t="s">
        <v>810</v>
      </c>
      <c r="S15">
        <v>215</v>
      </c>
      <c r="T15" t="s">
        <v>984</v>
      </c>
    </row>
    <row r="16" spans="1:20" x14ac:dyDescent="0.3">
      <c r="A16" t="s">
        <v>178</v>
      </c>
      <c r="B16" t="s">
        <v>179</v>
      </c>
      <c r="C16" t="s">
        <v>180</v>
      </c>
      <c r="D16" t="s">
        <v>96</v>
      </c>
      <c r="E16" t="s">
        <v>97</v>
      </c>
      <c r="F16">
        <v>100015</v>
      </c>
      <c r="G16" t="s">
        <v>49</v>
      </c>
      <c r="H16" t="s">
        <v>181</v>
      </c>
      <c r="I16">
        <v>91000000015</v>
      </c>
      <c r="J16" t="s">
        <v>182</v>
      </c>
      <c r="K16" t="s">
        <v>183</v>
      </c>
      <c r="L16" t="s">
        <v>184</v>
      </c>
      <c r="M16" t="s">
        <v>102</v>
      </c>
      <c r="N16" t="s">
        <v>103</v>
      </c>
      <c r="O16" t="s">
        <v>104</v>
      </c>
      <c r="P16" t="s">
        <v>811</v>
      </c>
      <c r="Q16">
        <v>1015</v>
      </c>
      <c r="R16" t="s">
        <v>812</v>
      </c>
      <c r="S16">
        <v>216</v>
      </c>
      <c r="T16" t="s">
        <v>984</v>
      </c>
    </row>
    <row r="17" spans="1:20" x14ac:dyDescent="0.3">
      <c r="A17" t="s">
        <v>185</v>
      </c>
      <c r="B17" t="s">
        <v>186</v>
      </c>
      <c r="C17" t="s">
        <v>187</v>
      </c>
      <c r="D17" t="s">
        <v>108</v>
      </c>
      <c r="E17" t="s">
        <v>48</v>
      </c>
      <c r="F17">
        <v>100016</v>
      </c>
      <c r="G17" t="s">
        <v>49</v>
      </c>
      <c r="H17" t="s">
        <v>188</v>
      </c>
      <c r="I17">
        <v>91000000016</v>
      </c>
      <c r="J17" t="s">
        <v>189</v>
      </c>
      <c r="K17" t="s">
        <v>190</v>
      </c>
      <c r="L17" t="s">
        <v>191</v>
      </c>
      <c r="M17" t="s">
        <v>54</v>
      </c>
      <c r="N17" t="s">
        <v>55</v>
      </c>
      <c r="O17" t="s">
        <v>113</v>
      </c>
      <c r="P17" t="s">
        <v>813</v>
      </c>
      <c r="Q17">
        <v>1016</v>
      </c>
      <c r="R17" t="s">
        <v>814</v>
      </c>
      <c r="S17">
        <v>217</v>
      </c>
      <c r="T17" t="s">
        <v>984</v>
      </c>
    </row>
    <row r="18" spans="1:20" x14ac:dyDescent="0.3">
      <c r="A18" t="s">
        <v>192</v>
      </c>
      <c r="B18" t="s">
        <v>193</v>
      </c>
      <c r="C18" t="s">
        <v>194</v>
      </c>
      <c r="D18" t="s">
        <v>117</v>
      </c>
      <c r="E18" t="s">
        <v>61</v>
      </c>
      <c r="F18">
        <v>100017</v>
      </c>
      <c r="G18" t="s">
        <v>49</v>
      </c>
      <c r="H18" t="s">
        <v>195</v>
      </c>
      <c r="I18">
        <v>91000000017</v>
      </c>
      <c r="J18" t="s">
        <v>196</v>
      </c>
      <c r="K18" t="s">
        <v>197</v>
      </c>
      <c r="L18" t="s">
        <v>198</v>
      </c>
      <c r="M18" t="s">
        <v>66</v>
      </c>
      <c r="N18" t="s">
        <v>67</v>
      </c>
      <c r="O18" t="s">
        <v>122</v>
      </c>
      <c r="P18" t="s">
        <v>815</v>
      </c>
      <c r="Q18">
        <v>1017</v>
      </c>
      <c r="R18" t="s">
        <v>816</v>
      </c>
      <c r="S18">
        <v>218</v>
      </c>
      <c r="T18" t="s">
        <v>984</v>
      </c>
    </row>
    <row r="19" spans="1:20" x14ac:dyDescent="0.3">
      <c r="A19" t="s">
        <v>199</v>
      </c>
      <c r="B19" t="s">
        <v>200</v>
      </c>
      <c r="C19" t="s">
        <v>201</v>
      </c>
      <c r="D19" t="s">
        <v>126</v>
      </c>
      <c r="E19" t="s">
        <v>73</v>
      </c>
      <c r="F19">
        <v>100018</v>
      </c>
      <c r="G19" t="s">
        <v>49</v>
      </c>
      <c r="H19" t="s">
        <v>202</v>
      </c>
      <c r="I19">
        <v>91000000018</v>
      </c>
      <c r="J19" t="s">
        <v>203</v>
      </c>
      <c r="K19" t="s">
        <v>204</v>
      </c>
      <c r="L19" t="s">
        <v>205</v>
      </c>
      <c r="M19" t="s">
        <v>78</v>
      </c>
      <c r="N19" t="s">
        <v>79</v>
      </c>
      <c r="O19" t="s">
        <v>131</v>
      </c>
      <c r="P19" t="s">
        <v>817</v>
      </c>
      <c r="Q19">
        <v>1018</v>
      </c>
      <c r="R19" t="s">
        <v>818</v>
      </c>
      <c r="S19">
        <v>219</v>
      </c>
      <c r="T19" t="s">
        <v>984</v>
      </c>
    </row>
    <row r="20" spans="1:20" x14ac:dyDescent="0.3">
      <c r="A20" t="s">
        <v>206</v>
      </c>
      <c r="B20" t="s">
        <v>207</v>
      </c>
      <c r="C20" t="s">
        <v>208</v>
      </c>
      <c r="D20" t="s">
        <v>135</v>
      </c>
      <c r="E20" t="s">
        <v>85</v>
      </c>
      <c r="F20">
        <v>100019</v>
      </c>
      <c r="G20" t="s">
        <v>49</v>
      </c>
      <c r="H20" t="s">
        <v>209</v>
      </c>
      <c r="I20">
        <v>91000000019</v>
      </c>
      <c r="J20" t="s">
        <v>210</v>
      </c>
      <c r="K20" t="s">
        <v>211</v>
      </c>
      <c r="L20" t="s">
        <v>212</v>
      </c>
      <c r="M20" t="s">
        <v>90</v>
      </c>
      <c r="N20" t="s">
        <v>91</v>
      </c>
      <c r="O20" t="s">
        <v>140</v>
      </c>
      <c r="P20" t="s">
        <v>819</v>
      </c>
      <c r="Q20">
        <v>1019</v>
      </c>
      <c r="R20" t="s">
        <v>820</v>
      </c>
      <c r="S20">
        <v>220</v>
      </c>
      <c r="T20" t="s">
        <v>984</v>
      </c>
    </row>
    <row r="21" spans="1:20" x14ac:dyDescent="0.3">
      <c r="A21" t="s">
        <v>213</v>
      </c>
      <c r="B21" t="s">
        <v>214</v>
      </c>
      <c r="C21" t="s">
        <v>215</v>
      </c>
      <c r="D21" t="s">
        <v>144</v>
      </c>
      <c r="E21" t="s">
        <v>97</v>
      </c>
      <c r="F21">
        <v>100020</v>
      </c>
      <c r="G21" t="s">
        <v>49</v>
      </c>
      <c r="H21" t="s">
        <v>216</v>
      </c>
      <c r="I21">
        <v>91000000020</v>
      </c>
      <c r="J21" t="s">
        <v>217</v>
      </c>
      <c r="K21" t="s">
        <v>218</v>
      </c>
      <c r="L21" t="s">
        <v>219</v>
      </c>
      <c r="M21" t="s">
        <v>102</v>
      </c>
      <c r="N21" t="s">
        <v>103</v>
      </c>
      <c r="O21" t="s">
        <v>149</v>
      </c>
      <c r="P21" t="s">
        <v>821</v>
      </c>
      <c r="Q21">
        <v>1020</v>
      </c>
      <c r="R21" t="s">
        <v>822</v>
      </c>
      <c r="S21">
        <v>221</v>
      </c>
      <c r="T21" t="s">
        <v>984</v>
      </c>
    </row>
    <row r="22" spans="1:20" x14ac:dyDescent="0.3">
      <c r="A22" t="s">
        <v>220</v>
      </c>
      <c r="B22" t="s">
        <v>221</v>
      </c>
      <c r="C22" t="s">
        <v>222</v>
      </c>
      <c r="D22" t="s">
        <v>47</v>
      </c>
      <c r="E22" t="s">
        <v>48</v>
      </c>
      <c r="F22">
        <v>100021</v>
      </c>
      <c r="G22" t="s">
        <v>49</v>
      </c>
      <c r="H22" t="s">
        <v>223</v>
      </c>
      <c r="I22">
        <v>91000000021</v>
      </c>
      <c r="J22" t="s">
        <v>224</v>
      </c>
      <c r="K22" t="s">
        <v>225</v>
      </c>
      <c r="L22" t="s">
        <v>226</v>
      </c>
      <c r="M22" t="s">
        <v>54</v>
      </c>
      <c r="N22" t="s">
        <v>55</v>
      </c>
      <c r="O22" t="s">
        <v>56</v>
      </c>
      <c r="P22" t="s">
        <v>823</v>
      </c>
      <c r="Q22">
        <v>1021</v>
      </c>
      <c r="R22" t="s">
        <v>824</v>
      </c>
      <c r="S22">
        <v>222</v>
      </c>
      <c r="T22" t="s">
        <v>984</v>
      </c>
    </row>
    <row r="23" spans="1:20" x14ac:dyDescent="0.3">
      <c r="A23" t="s">
        <v>227</v>
      </c>
      <c r="B23" t="s">
        <v>228</v>
      </c>
      <c r="C23" t="s">
        <v>229</v>
      </c>
      <c r="D23" t="s">
        <v>60</v>
      </c>
      <c r="E23" t="s">
        <v>61</v>
      </c>
      <c r="F23">
        <v>100022</v>
      </c>
      <c r="G23" t="s">
        <v>49</v>
      </c>
      <c r="H23" t="s">
        <v>230</v>
      </c>
      <c r="I23">
        <v>91000000022</v>
      </c>
      <c r="J23" t="s">
        <v>231</v>
      </c>
      <c r="K23" t="s">
        <v>232</v>
      </c>
      <c r="L23" t="s">
        <v>233</v>
      </c>
      <c r="M23" t="s">
        <v>66</v>
      </c>
      <c r="N23" t="s">
        <v>67</v>
      </c>
      <c r="O23" t="s">
        <v>68</v>
      </c>
      <c r="P23" t="s">
        <v>825</v>
      </c>
      <c r="Q23">
        <v>1022</v>
      </c>
      <c r="R23" t="s">
        <v>826</v>
      </c>
      <c r="S23">
        <v>223</v>
      </c>
      <c r="T23" t="s">
        <v>984</v>
      </c>
    </row>
    <row r="24" spans="1:20" x14ac:dyDescent="0.3">
      <c r="A24" t="s">
        <v>234</v>
      </c>
      <c r="B24" t="s">
        <v>235</v>
      </c>
      <c r="C24" t="s">
        <v>236</v>
      </c>
      <c r="D24" t="s">
        <v>72</v>
      </c>
      <c r="E24" t="s">
        <v>73</v>
      </c>
      <c r="F24">
        <v>100023</v>
      </c>
      <c r="G24" t="s">
        <v>49</v>
      </c>
      <c r="H24" t="s">
        <v>237</v>
      </c>
      <c r="I24">
        <v>91000000023</v>
      </c>
      <c r="J24" t="s">
        <v>238</v>
      </c>
      <c r="K24" t="s">
        <v>239</v>
      </c>
      <c r="L24" t="s">
        <v>240</v>
      </c>
      <c r="M24" t="s">
        <v>78</v>
      </c>
      <c r="N24" t="s">
        <v>79</v>
      </c>
      <c r="O24" t="s">
        <v>80</v>
      </c>
      <c r="P24" t="s">
        <v>827</v>
      </c>
      <c r="Q24">
        <v>1023</v>
      </c>
      <c r="R24" t="s">
        <v>828</v>
      </c>
      <c r="S24">
        <v>224</v>
      </c>
      <c r="T24" t="s">
        <v>984</v>
      </c>
    </row>
    <row r="25" spans="1:20" x14ac:dyDescent="0.3">
      <c r="A25" t="s">
        <v>241</v>
      </c>
      <c r="B25" t="s">
        <v>242</v>
      </c>
      <c r="C25" t="s">
        <v>243</v>
      </c>
      <c r="D25" t="s">
        <v>84</v>
      </c>
      <c r="E25" t="s">
        <v>85</v>
      </c>
      <c r="F25">
        <v>100024</v>
      </c>
      <c r="G25" t="s">
        <v>49</v>
      </c>
      <c r="H25" t="s">
        <v>244</v>
      </c>
      <c r="I25">
        <v>91000000024</v>
      </c>
      <c r="J25" t="s">
        <v>245</v>
      </c>
      <c r="K25" t="s">
        <v>246</v>
      </c>
      <c r="L25" t="s">
        <v>247</v>
      </c>
      <c r="M25" t="s">
        <v>90</v>
      </c>
      <c r="N25" t="s">
        <v>91</v>
      </c>
      <c r="O25" t="s">
        <v>92</v>
      </c>
      <c r="P25" t="s">
        <v>829</v>
      </c>
      <c r="Q25">
        <v>1024</v>
      </c>
      <c r="R25" t="s">
        <v>830</v>
      </c>
      <c r="S25">
        <v>225</v>
      </c>
      <c r="T25" t="s">
        <v>984</v>
      </c>
    </row>
    <row r="26" spans="1:20" x14ac:dyDescent="0.3">
      <c r="A26" t="s">
        <v>248</v>
      </c>
      <c r="B26" t="s">
        <v>249</v>
      </c>
      <c r="C26" t="s">
        <v>250</v>
      </c>
      <c r="D26" t="s">
        <v>96</v>
      </c>
      <c r="E26" t="s">
        <v>97</v>
      </c>
      <c r="F26">
        <v>100025</v>
      </c>
      <c r="G26" t="s">
        <v>49</v>
      </c>
      <c r="H26" t="s">
        <v>251</v>
      </c>
      <c r="I26">
        <v>91000000025</v>
      </c>
      <c r="J26" t="s">
        <v>252</v>
      </c>
      <c r="K26" t="s">
        <v>253</v>
      </c>
      <c r="L26" t="s">
        <v>254</v>
      </c>
      <c r="M26" t="s">
        <v>102</v>
      </c>
      <c r="N26" t="s">
        <v>103</v>
      </c>
      <c r="O26" t="s">
        <v>104</v>
      </c>
      <c r="P26" t="s">
        <v>831</v>
      </c>
      <c r="Q26">
        <v>1025</v>
      </c>
      <c r="R26" t="s">
        <v>832</v>
      </c>
      <c r="S26">
        <v>226</v>
      </c>
      <c r="T26" t="s">
        <v>984</v>
      </c>
    </row>
    <row r="27" spans="1:20" x14ac:dyDescent="0.3">
      <c r="A27" t="s">
        <v>255</v>
      </c>
      <c r="B27" t="s">
        <v>256</v>
      </c>
      <c r="C27" t="s">
        <v>257</v>
      </c>
      <c r="D27" t="s">
        <v>108</v>
      </c>
      <c r="E27" t="s">
        <v>48</v>
      </c>
      <c r="F27">
        <v>100026</v>
      </c>
      <c r="G27" t="s">
        <v>49</v>
      </c>
      <c r="H27" t="s">
        <v>258</v>
      </c>
      <c r="I27">
        <v>91000000026</v>
      </c>
      <c r="J27" t="s">
        <v>259</v>
      </c>
      <c r="K27" t="s">
        <v>260</v>
      </c>
      <c r="L27" t="s">
        <v>261</v>
      </c>
      <c r="M27" t="s">
        <v>54</v>
      </c>
      <c r="N27" t="s">
        <v>55</v>
      </c>
      <c r="O27" t="s">
        <v>113</v>
      </c>
      <c r="P27" t="s">
        <v>833</v>
      </c>
      <c r="Q27">
        <v>1026</v>
      </c>
      <c r="R27" t="s">
        <v>834</v>
      </c>
      <c r="S27">
        <v>227</v>
      </c>
      <c r="T27" t="s">
        <v>984</v>
      </c>
    </row>
    <row r="28" spans="1:20" x14ac:dyDescent="0.3">
      <c r="A28" t="s">
        <v>262</v>
      </c>
      <c r="B28" t="s">
        <v>263</v>
      </c>
      <c r="C28" t="s">
        <v>264</v>
      </c>
      <c r="D28" t="s">
        <v>117</v>
      </c>
      <c r="E28" t="s">
        <v>61</v>
      </c>
      <c r="F28">
        <v>100027</v>
      </c>
      <c r="G28" t="s">
        <v>49</v>
      </c>
      <c r="H28" t="s">
        <v>265</v>
      </c>
      <c r="I28">
        <v>91000000027</v>
      </c>
      <c r="J28" t="s">
        <v>266</v>
      </c>
      <c r="K28" t="s">
        <v>267</v>
      </c>
      <c r="L28" t="s">
        <v>268</v>
      </c>
      <c r="M28" t="s">
        <v>66</v>
      </c>
      <c r="N28" t="s">
        <v>67</v>
      </c>
      <c r="O28" t="s">
        <v>122</v>
      </c>
      <c r="P28" t="s">
        <v>835</v>
      </c>
      <c r="Q28">
        <v>1027</v>
      </c>
      <c r="R28" t="s">
        <v>836</v>
      </c>
      <c r="S28">
        <v>228</v>
      </c>
      <c r="T28" t="s">
        <v>984</v>
      </c>
    </row>
    <row r="29" spans="1:20" x14ac:dyDescent="0.3">
      <c r="A29" t="s">
        <v>269</v>
      </c>
      <c r="B29" t="s">
        <v>270</v>
      </c>
      <c r="C29" t="s">
        <v>271</v>
      </c>
      <c r="D29" t="s">
        <v>126</v>
      </c>
      <c r="E29" t="s">
        <v>73</v>
      </c>
      <c r="F29">
        <v>100028</v>
      </c>
      <c r="G29" t="s">
        <v>49</v>
      </c>
      <c r="H29" t="s">
        <v>272</v>
      </c>
      <c r="I29">
        <v>91000000028</v>
      </c>
      <c r="J29" t="s">
        <v>273</v>
      </c>
      <c r="K29" t="s">
        <v>274</v>
      </c>
      <c r="L29" t="s">
        <v>275</v>
      </c>
      <c r="M29" t="s">
        <v>78</v>
      </c>
      <c r="N29" t="s">
        <v>79</v>
      </c>
      <c r="O29" t="s">
        <v>131</v>
      </c>
      <c r="P29" t="s">
        <v>837</v>
      </c>
      <c r="Q29">
        <v>1028</v>
      </c>
      <c r="R29" t="s">
        <v>838</v>
      </c>
      <c r="S29">
        <v>229</v>
      </c>
      <c r="T29" t="s">
        <v>984</v>
      </c>
    </row>
    <row r="30" spans="1:20" x14ac:dyDescent="0.3">
      <c r="A30" t="s">
        <v>276</v>
      </c>
      <c r="B30" t="s">
        <v>277</v>
      </c>
      <c r="C30" t="s">
        <v>278</v>
      </c>
      <c r="D30" t="s">
        <v>135</v>
      </c>
      <c r="E30" t="s">
        <v>85</v>
      </c>
      <c r="F30">
        <v>100029</v>
      </c>
      <c r="G30" t="s">
        <v>49</v>
      </c>
      <c r="H30" t="s">
        <v>279</v>
      </c>
      <c r="I30">
        <v>91000000029</v>
      </c>
      <c r="J30" t="s">
        <v>280</v>
      </c>
      <c r="K30" t="s">
        <v>281</v>
      </c>
      <c r="L30" t="s">
        <v>282</v>
      </c>
      <c r="M30" t="s">
        <v>90</v>
      </c>
      <c r="N30" t="s">
        <v>91</v>
      </c>
      <c r="O30" t="s">
        <v>140</v>
      </c>
      <c r="P30" t="s">
        <v>839</v>
      </c>
      <c r="Q30">
        <v>1029</v>
      </c>
      <c r="R30" t="s">
        <v>840</v>
      </c>
      <c r="S30">
        <v>230</v>
      </c>
      <c r="T30" t="s">
        <v>984</v>
      </c>
    </row>
    <row r="31" spans="1:20" x14ac:dyDescent="0.3">
      <c r="A31" t="s">
        <v>283</v>
      </c>
      <c r="B31" t="s">
        <v>284</v>
      </c>
      <c r="C31" t="s">
        <v>285</v>
      </c>
      <c r="D31" t="s">
        <v>144</v>
      </c>
      <c r="E31" t="s">
        <v>97</v>
      </c>
      <c r="F31">
        <v>100030</v>
      </c>
      <c r="G31" t="s">
        <v>49</v>
      </c>
      <c r="H31" t="s">
        <v>286</v>
      </c>
      <c r="I31">
        <v>91000000030</v>
      </c>
      <c r="J31" t="s">
        <v>287</v>
      </c>
      <c r="K31" t="s">
        <v>288</v>
      </c>
      <c r="L31" t="s">
        <v>289</v>
      </c>
      <c r="M31" t="s">
        <v>102</v>
      </c>
      <c r="N31" t="s">
        <v>103</v>
      </c>
      <c r="O31" t="s">
        <v>149</v>
      </c>
      <c r="P31" t="s">
        <v>841</v>
      </c>
      <c r="Q31">
        <v>1030</v>
      </c>
      <c r="R31" t="s">
        <v>842</v>
      </c>
      <c r="S31">
        <v>231</v>
      </c>
      <c r="T31" t="s">
        <v>984</v>
      </c>
    </row>
    <row r="32" spans="1:20" x14ac:dyDescent="0.3">
      <c r="A32" t="s">
        <v>290</v>
      </c>
      <c r="B32" t="s">
        <v>291</v>
      </c>
      <c r="C32" t="s">
        <v>292</v>
      </c>
      <c r="D32" t="s">
        <v>47</v>
      </c>
      <c r="E32" t="s">
        <v>48</v>
      </c>
      <c r="F32">
        <v>100031</v>
      </c>
      <c r="G32" t="s">
        <v>49</v>
      </c>
      <c r="H32" t="s">
        <v>293</v>
      </c>
      <c r="I32">
        <v>91000000031</v>
      </c>
      <c r="J32" t="s">
        <v>294</v>
      </c>
      <c r="K32" t="s">
        <v>295</v>
      </c>
      <c r="L32" t="s">
        <v>296</v>
      </c>
      <c r="M32" t="s">
        <v>54</v>
      </c>
      <c r="N32" t="s">
        <v>55</v>
      </c>
      <c r="O32" t="s">
        <v>56</v>
      </c>
      <c r="P32" t="s">
        <v>843</v>
      </c>
      <c r="Q32">
        <v>1031</v>
      </c>
      <c r="R32" t="s">
        <v>844</v>
      </c>
      <c r="S32">
        <v>232</v>
      </c>
      <c r="T32" t="s">
        <v>984</v>
      </c>
    </row>
    <row r="33" spans="1:20" x14ac:dyDescent="0.3">
      <c r="A33" t="s">
        <v>297</v>
      </c>
      <c r="B33" t="s">
        <v>298</v>
      </c>
      <c r="C33" t="s">
        <v>299</v>
      </c>
      <c r="D33" t="s">
        <v>60</v>
      </c>
      <c r="E33" t="s">
        <v>61</v>
      </c>
      <c r="F33">
        <v>100032</v>
      </c>
      <c r="G33" t="s">
        <v>49</v>
      </c>
      <c r="H33" t="s">
        <v>300</v>
      </c>
      <c r="I33">
        <v>91000000032</v>
      </c>
      <c r="J33" t="s">
        <v>301</v>
      </c>
      <c r="K33" t="s">
        <v>302</v>
      </c>
      <c r="L33" t="s">
        <v>303</v>
      </c>
      <c r="M33" t="s">
        <v>66</v>
      </c>
      <c r="N33" t="s">
        <v>67</v>
      </c>
      <c r="O33" t="s">
        <v>68</v>
      </c>
      <c r="P33" t="s">
        <v>845</v>
      </c>
      <c r="Q33">
        <v>1032</v>
      </c>
      <c r="R33" t="s">
        <v>846</v>
      </c>
      <c r="S33">
        <v>233</v>
      </c>
      <c r="T33" t="s">
        <v>984</v>
      </c>
    </row>
    <row r="34" spans="1:20" x14ac:dyDescent="0.3">
      <c r="A34" t="s">
        <v>304</v>
      </c>
      <c r="B34" t="s">
        <v>305</v>
      </c>
      <c r="C34" t="s">
        <v>306</v>
      </c>
      <c r="D34" t="s">
        <v>72</v>
      </c>
      <c r="E34" t="s">
        <v>73</v>
      </c>
      <c r="F34">
        <v>100033</v>
      </c>
      <c r="G34" t="s">
        <v>49</v>
      </c>
      <c r="H34" t="s">
        <v>307</v>
      </c>
      <c r="I34">
        <v>91000000033</v>
      </c>
      <c r="J34" t="s">
        <v>308</v>
      </c>
      <c r="K34" t="s">
        <v>309</v>
      </c>
      <c r="L34" t="s">
        <v>310</v>
      </c>
      <c r="M34" t="s">
        <v>78</v>
      </c>
      <c r="N34" t="s">
        <v>79</v>
      </c>
      <c r="O34" t="s">
        <v>80</v>
      </c>
      <c r="P34" t="s">
        <v>847</v>
      </c>
      <c r="Q34">
        <v>1033</v>
      </c>
      <c r="R34" t="s">
        <v>848</v>
      </c>
      <c r="S34">
        <v>234</v>
      </c>
      <c r="T34" t="s">
        <v>984</v>
      </c>
    </row>
    <row r="35" spans="1:20" x14ac:dyDescent="0.3">
      <c r="A35" t="s">
        <v>311</v>
      </c>
      <c r="B35" t="s">
        <v>312</v>
      </c>
      <c r="C35" t="s">
        <v>313</v>
      </c>
      <c r="D35" t="s">
        <v>84</v>
      </c>
      <c r="E35" t="s">
        <v>85</v>
      </c>
      <c r="F35">
        <v>100034</v>
      </c>
      <c r="G35" t="s">
        <v>49</v>
      </c>
      <c r="H35" t="s">
        <v>314</v>
      </c>
      <c r="I35">
        <v>91000000034</v>
      </c>
      <c r="J35" t="s">
        <v>315</v>
      </c>
      <c r="K35" t="s">
        <v>316</v>
      </c>
      <c r="L35" t="s">
        <v>317</v>
      </c>
      <c r="M35" t="s">
        <v>90</v>
      </c>
      <c r="N35" t="s">
        <v>91</v>
      </c>
      <c r="O35" t="s">
        <v>92</v>
      </c>
      <c r="P35" t="s">
        <v>849</v>
      </c>
      <c r="Q35">
        <v>1034</v>
      </c>
      <c r="R35" t="s">
        <v>850</v>
      </c>
      <c r="S35">
        <v>235</v>
      </c>
      <c r="T35" t="s">
        <v>984</v>
      </c>
    </row>
    <row r="36" spans="1:20" x14ac:dyDescent="0.3">
      <c r="A36" t="s">
        <v>318</v>
      </c>
      <c r="B36" t="s">
        <v>319</v>
      </c>
      <c r="C36" t="s">
        <v>320</v>
      </c>
      <c r="D36" t="s">
        <v>96</v>
      </c>
      <c r="E36" t="s">
        <v>97</v>
      </c>
      <c r="F36">
        <v>100035</v>
      </c>
      <c r="G36" t="s">
        <v>49</v>
      </c>
      <c r="H36" t="s">
        <v>321</v>
      </c>
      <c r="I36">
        <v>91000000035</v>
      </c>
      <c r="J36" t="s">
        <v>322</v>
      </c>
      <c r="K36" t="s">
        <v>323</v>
      </c>
      <c r="L36" t="s">
        <v>324</v>
      </c>
      <c r="M36" t="s">
        <v>102</v>
      </c>
      <c r="N36" t="s">
        <v>103</v>
      </c>
      <c r="O36" t="s">
        <v>104</v>
      </c>
      <c r="P36" t="s">
        <v>851</v>
      </c>
      <c r="Q36">
        <v>1035</v>
      </c>
      <c r="R36" t="s">
        <v>852</v>
      </c>
      <c r="S36">
        <v>236</v>
      </c>
      <c r="T36" t="s">
        <v>984</v>
      </c>
    </row>
    <row r="37" spans="1:20" x14ac:dyDescent="0.3">
      <c r="A37" t="s">
        <v>325</v>
      </c>
      <c r="B37" t="s">
        <v>326</v>
      </c>
      <c r="C37" t="s">
        <v>327</v>
      </c>
      <c r="D37" t="s">
        <v>108</v>
      </c>
      <c r="E37" t="s">
        <v>48</v>
      </c>
      <c r="F37">
        <v>100036</v>
      </c>
      <c r="G37" t="s">
        <v>49</v>
      </c>
      <c r="H37" t="s">
        <v>328</v>
      </c>
      <c r="I37">
        <v>91000000036</v>
      </c>
      <c r="J37" t="s">
        <v>329</v>
      </c>
      <c r="K37" t="s">
        <v>330</v>
      </c>
      <c r="L37" t="s">
        <v>331</v>
      </c>
      <c r="M37" t="s">
        <v>54</v>
      </c>
      <c r="N37" t="s">
        <v>55</v>
      </c>
      <c r="O37" t="s">
        <v>113</v>
      </c>
      <c r="P37" t="s">
        <v>853</v>
      </c>
      <c r="Q37">
        <v>1036</v>
      </c>
      <c r="R37" t="s">
        <v>854</v>
      </c>
      <c r="S37">
        <v>237</v>
      </c>
      <c r="T37" t="s">
        <v>984</v>
      </c>
    </row>
    <row r="38" spans="1:20" x14ac:dyDescent="0.3">
      <c r="A38" t="s">
        <v>332</v>
      </c>
      <c r="B38" t="s">
        <v>333</v>
      </c>
      <c r="C38" t="s">
        <v>334</v>
      </c>
      <c r="D38" t="s">
        <v>117</v>
      </c>
      <c r="E38" t="s">
        <v>61</v>
      </c>
      <c r="F38">
        <v>100037</v>
      </c>
      <c r="G38" t="s">
        <v>49</v>
      </c>
      <c r="H38" t="s">
        <v>335</v>
      </c>
      <c r="I38">
        <v>91000000037</v>
      </c>
      <c r="J38" t="s">
        <v>336</v>
      </c>
      <c r="K38" t="s">
        <v>337</v>
      </c>
      <c r="L38" t="s">
        <v>338</v>
      </c>
      <c r="M38" t="s">
        <v>66</v>
      </c>
      <c r="N38" t="s">
        <v>67</v>
      </c>
      <c r="O38" t="s">
        <v>122</v>
      </c>
      <c r="P38" t="s">
        <v>855</v>
      </c>
      <c r="Q38">
        <v>1037</v>
      </c>
      <c r="R38" t="s">
        <v>856</v>
      </c>
      <c r="S38">
        <v>238</v>
      </c>
      <c r="T38" t="s">
        <v>984</v>
      </c>
    </row>
    <row r="39" spans="1:20" x14ac:dyDescent="0.3">
      <c r="A39" t="s">
        <v>339</v>
      </c>
      <c r="B39" t="s">
        <v>340</v>
      </c>
      <c r="C39" t="s">
        <v>341</v>
      </c>
      <c r="D39" t="s">
        <v>126</v>
      </c>
      <c r="E39" t="s">
        <v>73</v>
      </c>
      <c r="F39">
        <v>100038</v>
      </c>
      <c r="G39" t="s">
        <v>49</v>
      </c>
      <c r="H39" t="s">
        <v>342</v>
      </c>
      <c r="I39">
        <v>91000000038</v>
      </c>
      <c r="J39" t="s">
        <v>343</v>
      </c>
      <c r="K39" t="s">
        <v>344</v>
      </c>
      <c r="L39" t="s">
        <v>345</v>
      </c>
      <c r="M39" t="s">
        <v>78</v>
      </c>
      <c r="N39" t="s">
        <v>79</v>
      </c>
      <c r="O39" t="s">
        <v>131</v>
      </c>
      <c r="P39" t="s">
        <v>857</v>
      </c>
      <c r="Q39">
        <v>1038</v>
      </c>
      <c r="R39" t="s">
        <v>858</v>
      </c>
      <c r="S39">
        <v>239</v>
      </c>
      <c r="T39" t="s">
        <v>984</v>
      </c>
    </row>
    <row r="40" spans="1:20" x14ac:dyDescent="0.3">
      <c r="A40" t="s">
        <v>346</v>
      </c>
      <c r="B40" t="s">
        <v>347</v>
      </c>
      <c r="C40" t="s">
        <v>348</v>
      </c>
      <c r="D40" t="s">
        <v>135</v>
      </c>
      <c r="E40" t="s">
        <v>85</v>
      </c>
      <c r="F40">
        <v>100039</v>
      </c>
      <c r="G40" t="s">
        <v>49</v>
      </c>
      <c r="H40" t="s">
        <v>349</v>
      </c>
      <c r="I40">
        <v>91000000039</v>
      </c>
      <c r="J40" t="s">
        <v>350</v>
      </c>
      <c r="K40" t="s">
        <v>351</v>
      </c>
      <c r="L40" t="s">
        <v>352</v>
      </c>
      <c r="M40" t="s">
        <v>90</v>
      </c>
      <c r="N40" t="s">
        <v>91</v>
      </c>
      <c r="O40" t="s">
        <v>140</v>
      </c>
      <c r="P40" t="s">
        <v>859</v>
      </c>
      <c r="Q40">
        <v>1039</v>
      </c>
      <c r="R40" t="s">
        <v>860</v>
      </c>
      <c r="S40">
        <v>240</v>
      </c>
      <c r="T40" t="s">
        <v>984</v>
      </c>
    </row>
    <row r="41" spans="1:20" x14ac:dyDescent="0.3">
      <c r="A41" t="s">
        <v>353</v>
      </c>
      <c r="B41" t="s">
        <v>354</v>
      </c>
      <c r="C41" t="s">
        <v>355</v>
      </c>
      <c r="D41" t="s">
        <v>144</v>
      </c>
      <c r="E41" t="s">
        <v>97</v>
      </c>
      <c r="F41">
        <v>100040</v>
      </c>
      <c r="G41" t="s">
        <v>49</v>
      </c>
      <c r="H41" t="s">
        <v>356</v>
      </c>
      <c r="I41">
        <v>91000000040</v>
      </c>
      <c r="J41" t="s">
        <v>357</v>
      </c>
      <c r="K41" t="s">
        <v>358</v>
      </c>
      <c r="L41" t="s">
        <v>359</v>
      </c>
      <c r="M41" t="s">
        <v>102</v>
      </c>
      <c r="N41" t="s">
        <v>103</v>
      </c>
      <c r="O41" t="s">
        <v>149</v>
      </c>
      <c r="P41" t="s">
        <v>861</v>
      </c>
      <c r="Q41">
        <v>1040</v>
      </c>
      <c r="R41" t="s">
        <v>862</v>
      </c>
      <c r="S41">
        <v>241</v>
      </c>
      <c r="T41" t="s">
        <v>984</v>
      </c>
    </row>
    <row r="42" spans="1:20" x14ac:dyDescent="0.3">
      <c r="A42" t="s">
        <v>360</v>
      </c>
      <c r="B42" t="s">
        <v>361</v>
      </c>
      <c r="C42" t="s">
        <v>362</v>
      </c>
      <c r="D42" t="s">
        <v>47</v>
      </c>
      <c r="E42" t="s">
        <v>48</v>
      </c>
      <c r="F42">
        <v>100041</v>
      </c>
      <c r="G42" t="s">
        <v>49</v>
      </c>
      <c r="H42" t="s">
        <v>363</v>
      </c>
      <c r="I42">
        <v>91000000041</v>
      </c>
      <c r="J42" t="s">
        <v>364</v>
      </c>
      <c r="K42" t="s">
        <v>365</v>
      </c>
      <c r="L42" t="s">
        <v>366</v>
      </c>
      <c r="M42" t="s">
        <v>54</v>
      </c>
      <c r="N42" t="s">
        <v>55</v>
      </c>
      <c r="O42" t="s">
        <v>56</v>
      </c>
      <c r="P42" t="s">
        <v>863</v>
      </c>
      <c r="Q42">
        <v>1041</v>
      </c>
      <c r="R42" t="s">
        <v>864</v>
      </c>
      <c r="S42">
        <v>242</v>
      </c>
      <c r="T42" t="s">
        <v>984</v>
      </c>
    </row>
    <row r="43" spans="1:20" x14ac:dyDescent="0.3">
      <c r="A43" t="s">
        <v>367</v>
      </c>
      <c r="B43" t="s">
        <v>368</v>
      </c>
      <c r="C43" t="s">
        <v>369</v>
      </c>
      <c r="D43" t="s">
        <v>60</v>
      </c>
      <c r="E43" t="s">
        <v>61</v>
      </c>
      <c r="F43">
        <v>100042</v>
      </c>
      <c r="G43" t="s">
        <v>49</v>
      </c>
      <c r="H43" t="s">
        <v>370</v>
      </c>
      <c r="I43">
        <v>91000000042</v>
      </c>
      <c r="J43" t="s">
        <v>371</v>
      </c>
      <c r="K43" t="s">
        <v>372</v>
      </c>
      <c r="L43" t="s">
        <v>373</v>
      </c>
      <c r="M43" t="s">
        <v>66</v>
      </c>
      <c r="N43" t="s">
        <v>67</v>
      </c>
      <c r="O43" t="s">
        <v>68</v>
      </c>
      <c r="P43" t="s">
        <v>865</v>
      </c>
      <c r="Q43">
        <v>1042</v>
      </c>
      <c r="R43" t="s">
        <v>866</v>
      </c>
      <c r="S43">
        <v>243</v>
      </c>
      <c r="T43" t="s">
        <v>984</v>
      </c>
    </row>
    <row r="44" spans="1:20" x14ac:dyDescent="0.3">
      <c r="A44" t="s">
        <v>374</v>
      </c>
      <c r="B44" t="s">
        <v>375</v>
      </c>
      <c r="C44" t="s">
        <v>376</v>
      </c>
      <c r="D44" t="s">
        <v>72</v>
      </c>
      <c r="E44" t="s">
        <v>73</v>
      </c>
      <c r="F44">
        <v>100043</v>
      </c>
      <c r="G44" t="s">
        <v>49</v>
      </c>
      <c r="H44" t="s">
        <v>377</v>
      </c>
      <c r="I44">
        <v>91000000043</v>
      </c>
      <c r="J44" t="s">
        <v>378</v>
      </c>
      <c r="K44" t="s">
        <v>379</v>
      </c>
      <c r="L44" t="s">
        <v>380</v>
      </c>
      <c r="M44" t="s">
        <v>78</v>
      </c>
      <c r="N44" t="s">
        <v>79</v>
      </c>
      <c r="O44" t="s">
        <v>80</v>
      </c>
      <c r="P44" t="s">
        <v>867</v>
      </c>
      <c r="Q44">
        <v>1043</v>
      </c>
      <c r="R44" t="s">
        <v>868</v>
      </c>
      <c r="S44">
        <v>244</v>
      </c>
      <c r="T44" t="s">
        <v>984</v>
      </c>
    </row>
    <row r="45" spans="1:20" x14ac:dyDescent="0.3">
      <c r="A45" t="s">
        <v>381</v>
      </c>
      <c r="B45" t="s">
        <v>382</v>
      </c>
      <c r="C45" t="s">
        <v>383</v>
      </c>
      <c r="D45" t="s">
        <v>84</v>
      </c>
      <c r="E45" t="s">
        <v>85</v>
      </c>
      <c r="F45">
        <v>100044</v>
      </c>
      <c r="G45" t="s">
        <v>49</v>
      </c>
      <c r="H45" t="s">
        <v>384</v>
      </c>
      <c r="I45">
        <v>91000000044</v>
      </c>
      <c r="J45" t="s">
        <v>385</v>
      </c>
      <c r="K45" t="s">
        <v>386</v>
      </c>
      <c r="L45" t="s">
        <v>387</v>
      </c>
      <c r="M45" t="s">
        <v>90</v>
      </c>
      <c r="N45" t="s">
        <v>91</v>
      </c>
      <c r="O45" t="s">
        <v>92</v>
      </c>
      <c r="P45" t="s">
        <v>869</v>
      </c>
      <c r="Q45">
        <v>1044</v>
      </c>
      <c r="R45" t="s">
        <v>870</v>
      </c>
      <c r="S45">
        <v>245</v>
      </c>
      <c r="T45" t="s">
        <v>984</v>
      </c>
    </row>
    <row r="46" spans="1:20" x14ac:dyDescent="0.3">
      <c r="A46" t="s">
        <v>388</v>
      </c>
      <c r="B46" t="s">
        <v>389</v>
      </c>
      <c r="C46" t="s">
        <v>390</v>
      </c>
      <c r="D46" t="s">
        <v>96</v>
      </c>
      <c r="E46" t="s">
        <v>97</v>
      </c>
      <c r="F46">
        <v>100045</v>
      </c>
      <c r="G46" t="s">
        <v>49</v>
      </c>
      <c r="H46" t="s">
        <v>391</v>
      </c>
      <c r="I46">
        <v>91000000045</v>
      </c>
      <c r="J46" t="s">
        <v>392</v>
      </c>
      <c r="K46" t="s">
        <v>393</v>
      </c>
      <c r="L46" t="s">
        <v>394</v>
      </c>
      <c r="M46" t="s">
        <v>102</v>
      </c>
      <c r="N46" t="s">
        <v>103</v>
      </c>
      <c r="O46" t="s">
        <v>104</v>
      </c>
      <c r="P46" t="s">
        <v>871</v>
      </c>
      <c r="Q46">
        <v>1045</v>
      </c>
      <c r="R46" t="s">
        <v>872</v>
      </c>
      <c r="S46">
        <v>246</v>
      </c>
      <c r="T46" t="s">
        <v>984</v>
      </c>
    </row>
    <row r="47" spans="1:20" x14ac:dyDescent="0.3">
      <c r="A47" t="s">
        <v>395</v>
      </c>
      <c r="B47" t="s">
        <v>396</v>
      </c>
      <c r="C47" t="s">
        <v>397</v>
      </c>
      <c r="D47" t="s">
        <v>108</v>
      </c>
      <c r="E47" t="s">
        <v>48</v>
      </c>
      <c r="F47">
        <v>100046</v>
      </c>
      <c r="G47" t="s">
        <v>49</v>
      </c>
      <c r="H47" t="s">
        <v>398</v>
      </c>
      <c r="I47">
        <v>91000000046</v>
      </c>
      <c r="J47" t="s">
        <v>399</v>
      </c>
      <c r="K47" t="s">
        <v>400</v>
      </c>
      <c r="L47" t="s">
        <v>401</v>
      </c>
      <c r="M47" t="s">
        <v>54</v>
      </c>
      <c r="N47" t="s">
        <v>55</v>
      </c>
      <c r="O47" t="s">
        <v>113</v>
      </c>
      <c r="P47" t="s">
        <v>873</v>
      </c>
      <c r="Q47">
        <v>1046</v>
      </c>
      <c r="R47" t="s">
        <v>874</v>
      </c>
      <c r="S47">
        <v>247</v>
      </c>
      <c r="T47" t="s">
        <v>984</v>
      </c>
    </row>
    <row r="48" spans="1:20" x14ac:dyDescent="0.3">
      <c r="A48" t="s">
        <v>402</v>
      </c>
      <c r="B48" t="s">
        <v>403</v>
      </c>
      <c r="C48" t="s">
        <v>404</v>
      </c>
      <c r="D48" t="s">
        <v>117</v>
      </c>
      <c r="E48" t="s">
        <v>61</v>
      </c>
      <c r="F48">
        <v>100047</v>
      </c>
      <c r="G48" t="s">
        <v>49</v>
      </c>
      <c r="H48" t="s">
        <v>405</v>
      </c>
      <c r="I48">
        <v>91000000047</v>
      </c>
      <c r="J48" t="s">
        <v>406</v>
      </c>
      <c r="K48" t="s">
        <v>407</v>
      </c>
      <c r="L48" t="s">
        <v>408</v>
      </c>
      <c r="M48" t="s">
        <v>66</v>
      </c>
      <c r="N48" t="s">
        <v>67</v>
      </c>
      <c r="O48" t="s">
        <v>122</v>
      </c>
      <c r="P48" t="s">
        <v>875</v>
      </c>
      <c r="Q48">
        <v>1047</v>
      </c>
      <c r="R48" t="s">
        <v>876</v>
      </c>
      <c r="S48">
        <v>248</v>
      </c>
      <c r="T48" t="s">
        <v>984</v>
      </c>
    </row>
    <row r="49" spans="1:20" x14ac:dyDescent="0.3">
      <c r="A49" t="s">
        <v>409</v>
      </c>
      <c r="B49" t="s">
        <v>410</v>
      </c>
      <c r="C49" t="s">
        <v>411</v>
      </c>
      <c r="D49" t="s">
        <v>126</v>
      </c>
      <c r="E49" t="s">
        <v>73</v>
      </c>
      <c r="F49">
        <v>100048</v>
      </c>
      <c r="G49" t="s">
        <v>49</v>
      </c>
      <c r="H49" t="s">
        <v>412</v>
      </c>
      <c r="I49">
        <v>91000000048</v>
      </c>
      <c r="J49" t="s">
        <v>413</v>
      </c>
      <c r="K49" t="s">
        <v>414</v>
      </c>
      <c r="L49" t="s">
        <v>415</v>
      </c>
      <c r="M49" t="s">
        <v>78</v>
      </c>
      <c r="N49" t="s">
        <v>79</v>
      </c>
      <c r="O49" t="s">
        <v>131</v>
      </c>
      <c r="P49" t="s">
        <v>877</v>
      </c>
      <c r="Q49">
        <v>1048</v>
      </c>
      <c r="R49" t="s">
        <v>878</v>
      </c>
      <c r="S49">
        <v>249</v>
      </c>
      <c r="T49" t="s">
        <v>984</v>
      </c>
    </row>
    <row r="50" spans="1:20" x14ac:dyDescent="0.3">
      <c r="A50" t="s">
        <v>416</v>
      </c>
      <c r="B50" t="s">
        <v>417</v>
      </c>
      <c r="C50" t="s">
        <v>418</v>
      </c>
      <c r="D50" t="s">
        <v>135</v>
      </c>
      <c r="E50" t="s">
        <v>85</v>
      </c>
      <c r="F50">
        <v>100049</v>
      </c>
      <c r="G50" t="s">
        <v>49</v>
      </c>
      <c r="H50" t="s">
        <v>419</v>
      </c>
      <c r="I50">
        <v>91000000049</v>
      </c>
      <c r="J50" t="s">
        <v>420</v>
      </c>
      <c r="K50" t="s">
        <v>421</v>
      </c>
      <c r="L50" t="s">
        <v>422</v>
      </c>
      <c r="M50" t="s">
        <v>90</v>
      </c>
      <c r="N50" t="s">
        <v>91</v>
      </c>
      <c r="O50" t="s">
        <v>140</v>
      </c>
      <c r="P50" t="s">
        <v>879</v>
      </c>
      <c r="Q50">
        <v>1049</v>
      </c>
      <c r="R50" t="s">
        <v>880</v>
      </c>
      <c r="S50">
        <v>250</v>
      </c>
      <c r="T50" t="s">
        <v>984</v>
      </c>
    </row>
    <row r="51" spans="1:20" x14ac:dyDescent="0.3">
      <c r="A51" t="s">
        <v>423</v>
      </c>
      <c r="B51" t="s">
        <v>424</v>
      </c>
      <c r="C51" t="s">
        <v>425</v>
      </c>
      <c r="D51" t="s">
        <v>144</v>
      </c>
      <c r="E51" t="s">
        <v>97</v>
      </c>
      <c r="F51">
        <v>100050</v>
      </c>
      <c r="G51" t="s">
        <v>49</v>
      </c>
      <c r="H51" t="s">
        <v>426</v>
      </c>
      <c r="I51">
        <v>91000000050</v>
      </c>
      <c r="J51" t="s">
        <v>427</v>
      </c>
      <c r="K51" t="s">
        <v>428</v>
      </c>
      <c r="L51" t="s">
        <v>429</v>
      </c>
      <c r="M51" t="s">
        <v>102</v>
      </c>
      <c r="N51" t="s">
        <v>103</v>
      </c>
      <c r="O51" t="s">
        <v>149</v>
      </c>
      <c r="P51" t="s">
        <v>881</v>
      </c>
      <c r="Q51">
        <v>1000</v>
      </c>
      <c r="R51" t="s">
        <v>882</v>
      </c>
      <c r="S51">
        <v>251</v>
      </c>
      <c r="T51" t="s">
        <v>984</v>
      </c>
    </row>
    <row r="52" spans="1:20" x14ac:dyDescent="0.3">
      <c r="A52" t="s">
        <v>430</v>
      </c>
      <c r="B52" t="s">
        <v>431</v>
      </c>
      <c r="C52" t="s">
        <v>432</v>
      </c>
      <c r="D52" t="s">
        <v>47</v>
      </c>
      <c r="E52" t="s">
        <v>48</v>
      </c>
      <c r="F52">
        <v>100051</v>
      </c>
      <c r="G52" t="s">
        <v>49</v>
      </c>
      <c r="H52" t="s">
        <v>433</v>
      </c>
      <c r="I52">
        <v>91000000051</v>
      </c>
      <c r="J52" t="s">
        <v>434</v>
      </c>
      <c r="K52" t="s">
        <v>435</v>
      </c>
      <c r="L52" t="s">
        <v>436</v>
      </c>
      <c r="M52" t="s">
        <v>54</v>
      </c>
      <c r="N52" t="s">
        <v>55</v>
      </c>
      <c r="O52" t="s">
        <v>56</v>
      </c>
      <c r="P52" t="s">
        <v>883</v>
      </c>
      <c r="Q52">
        <v>1001</v>
      </c>
      <c r="R52" t="s">
        <v>884</v>
      </c>
      <c r="S52">
        <v>252</v>
      </c>
      <c r="T52" t="s">
        <v>984</v>
      </c>
    </row>
    <row r="53" spans="1:20" x14ac:dyDescent="0.3">
      <c r="A53" t="s">
        <v>437</v>
      </c>
      <c r="B53" t="s">
        <v>438</v>
      </c>
      <c r="C53" t="s">
        <v>439</v>
      </c>
      <c r="D53" t="s">
        <v>60</v>
      </c>
      <c r="E53" t="s">
        <v>61</v>
      </c>
      <c r="F53">
        <v>100052</v>
      </c>
      <c r="G53" t="s">
        <v>49</v>
      </c>
      <c r="H53" t="s">
        <v>440</v>
      </c>
      <c r="I53">
        <v>91000000052</v>
      </c>
      <c r="J53" t="s">
        <v>441</v>
      </c>
      <c r="K53" t="s">
        <v>442</v>
      </c>
      <c r="L53" t="s">
        <v>443</v>
      </c>
      <c r="M53" t="s">
        <v>66</v>
      </c>
      <c r="N53" t="s">
        <v>67</v>
      </c>
      <c r="O53" t="s">
        <v>68</v>
      </c>
      <c r="P53" t="s">
        <v>885</v>
      </c>
      <c r="Q53">
        <v>1002</v>
      </c>
      <c r="R53" t="s">
        <v>886</v>
      </c>
      <c r="S53">
        <v>253</v>
      </c>
      <c r="T53" t="s">
        <v>984</v>
      </c>
    </row>
    <row r="54" spans="1:20" x14ac:dyDescent="0.3">
      <c r="A54" t="s">
        <v>444</v>
      </c>
      <c r="B54" t="s">
        <v>445</v>
      </c>
      <c r="C54" t="s">
        <v>446</v>
      </c>
      <c r="D54" t="s">
        <v>72</v>
      </c>
      <c r="E54" t="s">
        <v>73</v>
      </c>
      <c r="F54">
        <v>100053</v>
      </c>
      <c r="G54" t="s">
        <v>49</v>
      </c>
      <c r="H54" t="s">
        <v>447</v>
      </c>
      <c r="I54">
        <v>91000000053</v>
      </c>
      <c r="J54" t="s">
        <v>448</v>
      </c>
      <c r="K54" t="s">
        <v>449</v>
      </c>
      <c r="L54" t="s">
        <v>450</v>
      </c>
      <c r="M54" t="s">
        <v>78</v>
      </c>
      <c r="N54" t="s">
        <v>79</v>
      </c>
      <c r="O54" t="s">
        <v>80</v>
      </c>
      <c r="P54" t="s">
        <v>887</v>
      </c>
      <c r="Q54">
        <v>1003</v>
      </c>
      <c r="R54" t="s">
        <v>888</v>
      </c>
      <c r="S54">
        <v>254</v>
      </c>
      <c r="T54" t="s">
        <v>984</v>
      </c>
    </row>
    <row r="55" spans="1:20" x14ac:dyDescent="0.3">
      <c r="A55" t="s">
        <v>451</v>
      </c>
      <c r="B55" t="s">
        <v>452</v>
      </c>
      <c r="C55" t="s">
        <v>453</v>
      </c>
      <c r="D55" t="s">
        <v>84</v>
      </c>
      <c r="E55" t="s">
        <v>85</v>
      </c>
      <c r="F55">
        <v>100054</v>
      </c>
      <c r="G55" t="s">
        <v>49</v>
      </c>
      <c r="H55" t="s">
        <v>454</v>
      </c>
      <c r="I55">
        <v>91000000054</v>
      </c>
      <c r="J55" t="s">
        <v>455</v>
      </c>
      <c r="K55" t="s">
        <v>456</v>
      </c>
      <c r="L55" t="s">
        <v>457</v>
      </c>
      <c r="M55" t="s">
        <v>90</v>
      </c>
      <c r="N55" t="s">
        <v>91</v>
      </c>
      <c r="O55" t="s">
        <v>92</v>
      </c>
      <c r="P55" t="s">
        <v>889</v>
      </c>
      <c r="Q55">
        <v>1004</v>
      </c>
      <c r="R55" t="s">
        <v>890</v>
      </c>
      <c r="S55">
        <v>255</v>
      </c>
      <c r="T55" t="s">
        <v>984</v>
      </c>
    </row>
    <row r="56" spans="1:20" x14ac:dyDescent="0.3">
      <c r="A56" t="s">
        <v>458</v>
      </c>
      <c r="B56" t="s">
        <v>459</v>
      </c>
      <c r="C56" t="s">
        <v>460</v>
      </c>
      <c r="D56" t="s">
        <v>96</v>
      </c>
      <c r="E56" t="s">
        <v>97</v>
      </c>
      <c r="F56">
        <v>100055</v>
      </c>
      <c r="G56" t="s">
        <v>49</v>
      </c>
      <c r="H56" t="s">
        <v>461</v>
      </c>
      <c r="I56">
        <v>91000000055</v>
      </c>
      <c r="J56" t="s">
        <v>462</v>
      </c>
      <c r="K56" t="s">
        <v>463</v>
      </c>
      <c r="L56" t="s">
        <v>464</v>
      </c>
      <c r="M56" t="s">
        <v>102</v>
      </c>
      <c r="N56" t="s">
        <v>103</v>
      </c>
      <c r="O56" t="s">
        <v>104</v>
      </c>
      <c r="P56" t="s">
        <v>891</v>
      </c>
      <c r="Q56">
        <v>1005</v>
      </c>
      <c r="R56" t="s">
        <v>892</v>
      </c>
      <c r="S56">
        <v>256</v>
      </c>
      <c r="T56" t="s">
        <v>984</v>
      </c>
    </row>
    <row r="57" spans="1:20" x14ac:dyDescent="0.3">
      <c r="A57" t="s">
        <v>465</v>
      </c>
      <c r="B57" t="s">
        <v>466</v>
      </c>
      <c r="C57" t="s">
        <v>467</v>
      </c>
      <c r="D57" t="s">
        <v>108</v>
      </c>
      <c r="E57" t="s">
        <v>48</v>
      </c>
      <c r="F57">
        <v>100056</v>
      </c>
      <c r="G57" t="s">
        <v>49</v>
      </c>
      <c r="H57" t="s">
        <v>468</v>
      </c>
      <c r="I57">
        <v>91000000056</v>
      </c>
      <c r="J57" t="s">
        <v>469</v>
      </c>
      <c r="K57" t="s">
        <v>470</v>
      </c>
      <c r="L57" t="s">
        <v>471</v>
      </c>
      <c r="M57" t="s">
        <v>54</v>
      </c>
      <c r="N57" t="s">
        <v>55</v>
      </c>
      <c r="O57" t="s">
        <v>113</v>
      </c>
      <c r="P57" t="s">
        <v>893</v>
      </c>
      <c r="Q57">
        <v>1006</v>
      </c>
      <c r="R57" t="s">
        <v>894</v>
      </c>
      <c r="S57">
        <v>257</v>
      </c>
      <c r="T57" t="s">
        <v>984</v>
      </c>
    </row>
    <row r="58" spans="1:20" x14ac:dyDescent="0.3">
      <c r="A58" t="s">
        <v>472</v>
      </c>
      <c r="B58" t="s">
        <v>473</v>
      </c>
      <c r="C58" t="s">
        <v>474</v>
      </c>
      <c r="D58" t="s">
        <v>117</v>
      </c>
      <c r="E58" t="s">
        <v>61</v>
      </c>
      <c r="F58">
        <v>100057</v>
      </c>
      <c r="G58" t="s">
        <v>49</v>
      </c>
      <c r="H58" t="s">
        <v>475</v>
      </c>
      <c r="I58">
        <v>91000000057</v>
      </c>
      <c r="J58" t="s">
        <v>476</v>
      </c>
      <c r="K58" t="s">
        <v>477</v>
      </c>
      <c r="L58" t="s">
        <v>478</v>
      </c>
      <c r="M58" t="s">
        <v>66</v>
      </c>
      <c r="N58" t="s">
        <v>67</v>
      </c>
      <c r="O58" t="s">
        <v>122</v>
      </c>
      <c r="P58" t="s">
        <v>895</v>
      </c>
      <c r="Q58">
        <v>1007</v>
      </c>
      <c r="R58" t="s">
        <v>896</v>
      </c>
      <c r="S58">
        <v>258</v>
      </c>
      <c r="T58" t="s">
        <v>984</v>
      </c>
    </row>
    <row r="59" spans="1:20" x14ac:dyDescent="0.3">
      <c r="A59" t="s">
        <v>479</v>
      </c>
      <c r="B59" t="s">
        <v>480</v>
      </c>
      <c r="C59" t="s">
        <v>481</v>
      </c>
      <c r="D59" t="s">
        <v>126</v>
      </c>
      <c r="E59" t="s">
        <v>73</v>
      </c>
      <c r="F59">
        <v>100058</v>
      </c>
      <c r="G59" t="s">
        <v>49</v>
      </c>
      <c r="H59" t="s">
        <v>482</v>
      </c>
      <c r="I59">
        <v>91000000058</v>
      </c>
      <c r="J59" t="s">
        <v>483</v>
      </c>
      <c r="K59" t="s">
        <v>484</v>
      </c>
      <c r="L59" t="s">
        <v>485</v>
      </c>
      <c r="M59" t="s">
        <v>78</v>
      </c>
      <c r="N59" t="s">
        <v>79</v>
      </c>
      <c r="O59" t="s">
        <v>131</v>
      </c>
      <c r="P59" t="s">
        <v>897</v>
      </c>
      <c r="Q59">
        <v>1008</v>
      </c>
      <c r="R59" t="s">
        <v>898</v>
      </c>
      <c r="S59">
        <v>259</v>
      </c>
      <c r="T59" t="s">
        <v>984</v>
      </c>
    </row>
    <row r="60" spans="1:20" x14ac:dyDescent="0.3">
      <c r="A60" t="s">
        <v>486</v>
      </c>
      <c r="B60" t="s">
        <v>487</v>
      </c>
      <c r="C60" t="s">
        <v>488</v>
      </c>
      <c r="D60" t="s">
        <v>135</v>
      </c>
      <c r="E60" t="s">
        <v>85</v>
      </c>
      <c r="F60">
        <v>100059</v>
      </c>
      <c r="G60" t="s">
        <v>49</v>
      </c>
      <c r="H60" t="s">
        <v>489</v>
      </c>
      <c r="I60">
        <v>91000000059</v>
      </c>
      <c r="J60" t="s">
        <v>490</v>
      </c>
      <c r="K60" t="s">
        <v>491</v>
      </c>
      <c r="L60" t="s">
        <v>492</v>
      </c>
      <c r="M60" t="s">
        <v>90</v>
      </c>
      <c r="N60" t="s">
        <v>91</v>
      </c>
      <c r="O60" t="s">
        <v>140</v>
      </c>
      <c r="P60" t="s">
        <v>899</v>
      </c>
      <c r="Q60">
        <v>1009</v>
      </c>
      <c r="R60" t="s">
        <v>900</v>
      </c>
      <c r="S60">
        <v>260</v>
      </c>
      <c r="T60" t="s">
        <v>984</v>
      </c>
    </row>
    <row r="61" spans="1:20" x14ac:dyDescent="0.3">
      <c r="A61" t="s">
        <v>493</v>
      </c>
      <c r="B61" t="s">
        <v>494</v>
      </c>
      <c r="C61" t="s">
        <v>495</v>
      </c>
      <c r="D61" t="s">
        <v>144</v>
      </c>
      <c r="E61" t="s">
        <v>97</v>
      </c>
      <c r="F61">
        <v>100060</v>
      </c>
      <c r="G61" t="s">
        <v>49</v>
      </c>
      <c r="H61" t="s">
        <v>496</v>
      </c>
      <c r="I61">
        <v>91000000060</v>
      </c>
      <c r="J61" t="s">
        <v>497</v>
      </c>
      <c r="K61" t="s">
        <v>498</v>
      </c>
      <c r="L61" t="s">
        <v>499</v>
      </c>
      <c r="M61" t="s">
        <v>102</v>
      </c>
      <c r="N61" t="s">
        <v>103</v>
      </c>
      <c r="O61" t="s">
        <v>149</v>
      </c>
      <c r="P61" t="s">
        <v>901</v>
      </c>
      <c r="Q61">
        <v>1010</v>
      </c>
      <c r="R61" t="s">
        <v>902</v>
      </c>
      <c r="S61">
        <v>261</v>
      </c>
      <c r="T61" t="s">
        <v>984</v>
      </c>
    </row>
    <row r="62" spans="1:20" x14ac:dyDescent="0.3">
      <c r="A62" t="s">
        <v>500</v>
      </c>
      <c r="B62" t="s">
        <v>501</v>
      </c>
      <c r="C62" t="s">
        <v>502</v>
      </c>
      <c r="D62" t="s">
        <v>47</v>
      </c>
      <c r="E62" t="s">
        <v>48</v>
      </c>
      <c r="F62">
        <v>100061</v>
      </c>
      <c r="G62" t="s">
        <v>49</v>
      </c>
      <c r="H62" t="s">
        <v>503</v>
      </c>
      <c r="I62">
        <v>91000000061</v>
      </c>
      <c r="J62" t="s">
        <v>504</v>
      </c>
      <c r="K62" t="s">
        <v>505</v>
      </c>
      <c r="L62" t="s">
        <v>506</v>
      </c>
      <c r="M62" t="s">
        <v>54</v>
      </c>
      <c r="N62" t="s">
        <v>55</v>
      </c>
      <c r="O62" t="s">
        <v>56</v>
      </c>
      <c r="P62" t="s">
        <v>903</v>
      </c>
      <c r="Q62">
        <v>1011</v>
      </c>
      <c r="R62" t="s">
        <v>904</v>
      </c>
      <c r="S62">
        <v>262</v>
      </c>
      <c r="T62" t="s">
        <v>984</v>
      </c>
    </row>
    <row r="63" spans="1:20" x14ac:dyDescent="0.3">
      <c r="A63" t="s">
        <v>507</v>
      </c>
      <c r="B63" t="s">
        <v>508</v>
      </c>
      <c r="C63" t="s">
        <v>509</v>
      </c>
      <c r="D63" t="s">
        <v>60</v>
      </c>
      <c r="E63" t="s">
        <v>61</v>
      </c>
      <c r="F63">
        <v>100062</v>
      </c>
      <c r="G63" t="s">
        <v>49</v>
      </c>
      <c r="H63" t="s">
        <v>510</v>
      </c>
      <c r="I63">
        <v>91000000062</v>
      </c>
      <c r="J63" t="s">
        <v>511</v>
      </c>
      <c r="K63" t="s">
        <v>512</v>
      </c>
      <c r="L63" t="s">
        <v>513</v>
      </c>
      <c r="M63" t="s">
        <v>66</v>
      </c>
      <c r="N63" t="s">
        <v>67</v>
      </c>
      <c r="O63" t="s">
        <v>68</v>
      </c>
      <c r="P63" t="s">
        <v>905</v>
      </c>
      <c r="Q63">
        <v>1012</v>
      </c>
      <c r="R63" t="s">
        <v>906</v>
      </c>
      <c r="S63">
        <v>263</v>
      </c>
      <c r="T63" t="s">
        <v>984</v>
      </c>
    </row>
    <row r="64" spans="1:20" x14ac:dyDescent="0.3">
      <c r="A64" t="s">
        <v>514</v>
      </c>
      <c r="B64" t="s">
        <v>515</v>
      </c>
      <c r="C64" t="s">
        <v>516</v>
      </c>
      <c r="D64" t="s">
        <v>72</v>
      </c>
      <c r="E64" t="s">
        <v>73</v>
      </c>
      <c r="F64">
        <v>100063</v>
      </c>
      <c r="G64" t="s">
        <v>49</v>
      </c>
      <c r="H64" t="s">
        <v>517</v>
      </c>
      <c r="I64">
        <v>91000000063</v>
      </c>
      <c r="J64" t="s">
        <v>518</v>
      </c>
      <c r="K64" t="s">
        <v>519</v>
      </c>
      <c r="L64" t="s">
        <v>520</v>
      </c>
      <c r="M64" t="s">
        <v>78</v>
      </c>
      <c r="N64" t="s">
        <v>79</v>
      </c>
      <c r="O64" t="s">
        <v>80</v>
      </c>
      <c r="P64" t="s">
        <v>907</v>
      </c>
      <c r="Q64">
        <v>1013</v>
      </c>
      <c r="R64" t="s">
        <v>908</v>
      </c>
      <c r="S64">
        <v>264</v>
      </c>
      <c r="T64" t="s">
        <v>984</v>
      </c>
    </row>
    <row r="65" spans="1:20" x14ac:dyDescent="0.3">
      <c r="A65" t="s">
        <v>521</v>
      </c>
      <c r="B65" t="s">
        <v>522</v>
      </c>
      <c r="C65" t="s">
        <v>523</v>
      </c>
      <c r="D65" t="s">
        <v>84</v>
      </c>
      <c r="E65" t="s">
        <v>85</v>
      </c>
      <c r="F65">
        <v>100064</v>
      </c>
      <c r="G65" t="s">
        <v>49</v>
      </c>
      <c r="H65" t="s">
        <v>524</v>
      </c>
      <c r="I65">
        <v>91000000064</v>
      </c>
      <c r="J65" t="s">
        <v>525</v>
      </c>
      <c r="K65" t="s">
        <v>526</v>
      </c>
      <c r="L65" t="s">
        <v>527</v>
      </c>
      <c r="M65" t="s">
        <v>90</v>
      </c>
      <c r="N65" t="s">
        <v>91</v>
      </c>
      <c r="O65" t="s">
        <v>92</v>
      </c>
      <c r="P65" t="s">
        <v>909</v>
      </c>
      <c r="Q65">
        <v>1014</v>
      </c>
      <c r="R65" t="s">
        <v>910</v>
      </c>
      <c r="S65">
        <v>265</v>
      </c>
      <c r="T65" t="s">
        <v>984</v>
      </c>
    </row>
    <row r="66" spans="1:20" x14ac:dyDescent="0.3">
      <c r="A66" t="s">
        <v>528</v>
      </c>
      <c r="B66" t="s">
        <v>529</v>
      </c>
      <c r="C66" t="s">
        <v>530</v>
      </c>
      <c r="D66" t="s">
        <v>96</v>
      </c>
      <c r="E66" t="s">
        <v>97</v>
      </c>
      <c r="F66">
        <v>100065</v>
      </c>
      <c r="G66" t="s">
        <v>49</v>
      </c>
      <c r="H66" t="s">
        <v>531</v>
      </c>
      <c r="I66">
        <v>91000000065</v>
      </c>
      <c r="J66" t="s">
        <v>532</v>
      </c>
      <c r="K66" t="s">
        <v>533</v>
      </c>
      <c r="L66" t="s">
        <v>534</v>
      </c>
      <c r="M66" t="s">
        <v>102</v>
      </c>
      <c r="N66" t="s">
        <v>103</v>
      </c>
      <c r="O66" t="s">
        <v>104</v>
      </c>
      <c r="P66" t="s">
        <v>911</v>
      </c>
      <c r="Q66">
        <v>1015</v>
      </c>
      <c r="R66" t="s">
        <v>912</v>
      </c>
      <c r="S66">
        <v>266</v>
      </c>
      <c r="T66" t="s">
        <v>984</v>
      </c>
    </row>
    <row r="67" spans="1:20" x14ac:dyDescent="0.3">
      <c r="A67" t="s">
        <v>535</v>
      </c>
      <c r="B67" t="s">
        <v>536</v>
      </c>
      <c r="C67" t="s">
        <v>537</v>
      </c>
      <c r="D67" t="s">
        <v>108</v>
      </c>
      <c r="E67" t="s">
        <v>48</v>
      </c>
      <c r="F67">
        <v>100066</v>
      </c>
      <c r="G67" t="s">
        <v>49</v>
      </c>
      <c r="H67" t="s">
        <v>538</v>
      </c>
      <c r="I67">
        <v>91000000066</v>
      </c>
      <c r="J67" t="s">
        <v>539</v>
      </c>
      <c r="K67" t="s">
        <v>540</v>
      </c>
      <c r="L67" t="s">
        <v>541</v>
      </c>
      <c r="M67" t="s">
        <v>54</v>
      </c>
      <c r="N67" t="s">
        <v>55</v>
      </c>
      <c r="O67" t="s">
        <v>113</v>
      </c>
      <c r="P67" t="s">
        <v>913</v>
      </c>
      <c r="Q67">
        <v>1016</v>
      </c>
      <c r="R67" t="s">
        <v>914</v>
      </c>
      <c r="S67">
        <v>267</v>
      </c>
      <c r="T67" t="s">
        <v>984</v>
      </c>
    </row>
    <row r="68" spans="1:20" x14ac:dyDescent="0.3">
      <c r="A68" t="s">
        <v>542</v>
      </c>
      <c r="B68" t="s">
        <v>543</v>
      </c>
      <c r="C68" t="s">
        <v>544</v>
      </c>
      <c r="D68" t="s">
        <v>117</v>
      </c>
      <c r="E68" t="s">
        <v>61</v>
      </c>
      <c r="F68">
        <v>100067</v>
      </c>
      <c r="G68" t="s">
        <v>49</v>
      </c>
      <c r="H68" t="s">
        <v>545</v>
      </c>
      <c r="I68">
        <v>91000000067</v>
      </c>
      <c r="J68" t="s">
        <v>546</v>
      </c>
      <c r="K68" t="s">
        <v>547</v>
      </c>
      <c r="L68" t="s">
        <v>548</v>
      </c>
      <c r="M68" t="s">
        <v>66</v>
      </c>
      <c r="N68" t="s">
        <v>67</v>
      </c>
      <c r="O68" t="s">
        <v>122</v>
      </c>
      <c r="P68" t="s">
        <v>915</v>
      </c>
      <c r="Q68">
        <v>1017</v>
      </c>
      <c r="R68" t="s">
        <v>916</v>
      </c>
      <c r="S68">
        <v>268</v>
      </c>
      <c r="T68" t="s">
        <v>984</v>
      </c>
    </row>
    <row r="69" spans="1:20" x14ac:dyDescent="0.3">
      <c r="A69" t="s">
        <v>549</v>
      </c>
      <c r="B69" t="s">
        <v>550</v>
      </c>
      <c r="C69" t="s">
        <v>551</v>
      </c>
      <c r="D69" t="s">
        <v>126</v>
      </c>
      <c r="E69" t="s">
        <v>73</v>
      </c>
      <c r="F69">
        <v>100068</v>
      </c>
      <c r="G69" t="s">
        <v>49</v>
      </c>
      <c r="H69" t="s">
        <v>552</v>
      </c>
      <c r="I69">
        <v>91000000068</v>
      </c>
      <c r="J69" t="s">
        <v>553</v>
      </c>
      <c r="K69" t="s">
        <v>554</v>
      </c>
      <c r="L69" t="s">
        <v>555</v>
      </c>
      <c r="M69" t="s">
        <v>78</v>
      </c>
      <c r="N69" t="s">
        <v>79</v>
      </c>
      <c r="O69" t="s">
        <v>131</v>
      </c>
      <c r="P69" t="s">
        <v>917</v>
      </c>
      <c r="Q69">
        <v>1018</v>
      </c>
      <c r="R69" t="s">
        <v>918</v>
      </c>
      <c r="S69">
        <v>269</v>
      </c>
      <c r="T69" t="s">
        <v>984</v>
      </c>
    </row>
    <row r="70" spans="1:20" x14ac:dyDescent="0.3">
      <c r="A70" t="s">
        <v>556</v>
      </c>
      <c r="B70" t="s">
        <v>557</v>
      </c>
      <c r="C70" t="s">
        <v>558</v>
      </c>
      <c r="D70" t="s">
        <v>135</v>
      </c>
      <c r="E70" t="s">
        <v>85</v>
      </c>
      <c r="F70">
        <v>100069</v>
      </c>
      <c r="G70" t="s">
        <v>49</v>
      </c>
      <c r="H70" t="s">
        <v>559</v>
      </c>
      <c r="I70">
        <v>91000000069</v>
      </c>
      <c r="J70" t="s">
        <v>560</v>
      </c>
      <c r="K70" t="s">
        <v>561</v>
      </c>
      <c r="L70" t="s">
        <v>562</v>
      </c>
      <c r="M70" t="s">
        <v>90</v>
      </c>
      <c r="N70" t="s">
        <v>91</v>
      </c>
      <c r="O70" t="s">
        <v>140</v>
      </c>
      <c r="P70" t="s">
        <v>919</v>
      </c>
      <c r="Q70">
        <v>1019</v>
      </c>
      <c r="R70" t="s">
        <v>920</v>
      </c>
      <c r="S70">
        <v>270</v>
      </c>
      <c r="T70" t="s">
        <v>984</v>
      </c>
    </row>
    <row r="71" spans="1:20" x14ac:dyDescent="0.3">
      <c r="A71" t="s">
        <v>563</v>
      </c>
      <c r="B71" t="s">
        <v>564</v>
      </c>
      <c r="C71" t="s">
        <v>565</v>
      </c>
      <c r="D71" t="s">
        <v>144</v>
      </c>
      <c r="E71" t="s">
        <v>97</v>
      </c>
      <c r="F71">
        <v>100070</v>
      </c>
      <c r="G71" t="s">
        <v>49</v>
      </c>
      <c r="H71" t="s">
        <v>566</v>
      </c>
      <c r="I71">
        <v>91000000070</v>
      </c>
      <c r="J71" t="s">
        <v>567</v>
      </c>
      <c r="K71" t="s">
        <v>568</v>
      </c>
      <c r="L71" t="s">
        <v>569</v>
      </c>
      <c r="M71" t="s">
        <v>102</v>
      </c>
      <c r="N71" t="s">
        <v>103</v>
      </c>
      <c r="O71" t="s">
        <v>149</v>
      </c>
      <c r="P71" t="s">
        <v>921</v>
      </c>
      <c r="Q71">
        <v>1020</v>
      </c>
      <c r="R71" t="s">
        <v>922</v>
      </c>
      <c r="S71">
        <v>271</v>
      </c>
      <c r="T71" t="s">
        <v>984</v>
      </c>
    </row>
    <row r="72" spans="1:20" x14ac:dyDescent="0.3">
      <c r="A72" t="s">
        <v>570</v>
      </c>
      <c r="B72" t="s">
        <v>571</v>
      </c>
      <c r="C72" t="s">
        <v>572</v>
      </c>
      <c r="D72" t="s">
        <v>47</v>
      </c>
      <c r="E72" t="s">
        <v>48</v>
      </c>
      <c r="F72">
        <v>100071</v>
      </c>
      <c r="G72" t="s">
        <v>49</v>
      </c>
      <c r="H72" t="s">
        <v>573</v>
      </c>
      <c r="I72">
        <v>91000000071</v>
      </c>
      <c r="J72" t="s">
        <v>574</v>
      </c>
      <c r="K72" t="s">
        <v>575</v>
      </c>
      <c r="L72" t="s">
        <v>576</v>
      </c>
      <c r="M72" t="s">
        <v>54</v>
      </c>
      <c r="N72" t="s">
        <v>55</v>
      </c>
      <c r="O72" t="s">
        <v>56</v>
      </c>
      <c r="P72" t="s">
        <v>923</v>
      </c>
      <c r="Q72">
        <v>1021</v>
      </c>
      <c r="R72" t="s">
        <v>924</v>
      </c>
      <c r="S72">
        <v>272</v>
      </c>
      <c r="T72" t="s">
        <v>984</v>
      </c>
    </row>
    <row r="73" spans="1:20" x14ac:dyDescent="0.3">
      <c r="A73" t="s">
        <v>577</v>
      </c>
      <c r="B73" t="s">
        <v>578</v>
      </c>
      <c r="C73" t="s">
        <v>579</v>
      </c>
      <c r="D73" t="s">
        <v>60</v>
      </c>
      <c r="E73" t="s">
        <v>61</v>
      </c>
      <c r="F73">
        <v>100072</v>
      </c>
      <c r="G73" t="s">
        <v>49</v>
      </c>
      <c r="H73" t="s">
        <v>580</v>
      </c>
      <c r="I73">
        <v>91000000072</v>
      </c>
      <c r="J73" t="s">
        <v>581</v>
      </c>
      <c r="K73" t="s">
        <v>582</v>
      </c>
      <c r="L73" t="s">
        <v>583</v>
      </c>
      <c r="M73" t="s">
        <v>66</v>
      </c>
      <c r="N73" t="s">
        <v>67</v>
      </c>
      <c r="O73" t="s">
        <v>68</v>
      </c>
      <c r="P73" t="s">
        <v>925</v>
      </c>
      <c r="Q73">
        <v>1022</v>
      </c>
      <c r="R73" t="s">
        <v>926</v>
      </c>
      <c r="S73">
        <v>273</v>
      </c>
      <c r="T73" t="s">
        <v>984</v>
      </c>
    </row>
    <row r="74" spans="1:20" x14ac:dyDescent="0.3">
      <c r="A74" t="s">
        <v>584</v>
      </c>
      <c r="B74" t="s">
        <v>585</v>
      </c>
      <c r="C74" t="s">
        <v>586</v>
      </c>
      <c r="D74" t="s">
        <v>72</v>
      </c>
      <c r="E74" t="s">
        <v>73</v>
      </c>
      <c r="F74">
        <v>100073</v>
      </c>
      <c r="G74" t="s">
        <v>49</v>
      </c>
      <c r="H74" t="s">
        <v>587</v>
      </c>
      <c r="I74">
        <v>91000000073</v>
      </c>
      <c r="J74" t="s">
        <v>588</v>
      </c>
      <c r="K74" t="s">
        <v>589</v>
      </c>
      <c r="L74" t="s">
        <v>590</v>
      </c>
      <c r="M74" t="s">
        <v>78</v>
      </c>
      <c r="N74" t="s">
        <v>79</v>
      </c>
      <c r="O74" t="s">
        <v>80</v>
      </c>
      <c r="P74" t="s">
        <v>927</v>
      </c>
      <c r="Q74">
        <v>1023</v>
      </c>
      <c r="R74" t="s">
        <v>928</v>
      </c>
      <c r="S74">
        <v>274</v>
      </c>
      <c r="T74" t="s">
        <v>984</v>
      </c>
    </row>
    <row r="75" spans="1:20" x14ac:dyDescent="0.3">
      <c r="A75" t="s">
        <v>591</v>
      </c>
      <c r="B75" t="s">
        <v>592</v>
      </c>
      <c r="C75" t="s">
        <v>593</v>
      </c>
      <c r="D75" t="s">
        <v>84</v>
      </c>
      <c r="E75" t="s">
        <v>85</v>
      </c>
      <c r="F75">
        <v>100074</v>
      </c>
      <c r="G75" t="s">
        <v>49</v>
      </c>
      <c r="H75" t="s">
        <v>594</v>
      </c>
      <c r="I75">
        <v>91000000074</v>
      </c>
      <c r="J75" t="s">
        <v>595</v>
      </c>
      <c r="K75" t="s">
        <v>596</v>
      </c>
      <c r="L75" t="s">
        <v>597</v>
      </c>
      <c r="M75" t="s">
        <v>90</v>
      </c>
      <c r="N75" t="s">
        <v>91</v>
      </c>
      <c r="O75" t="s">
        <v>92</v>
      </c>
      <c r="P75" t="s">
        <v>929</v>
      </c>
      <c r="Q75">
        <v>1024</v>
      </c>
      <c r="R75" t="s">
        <v>930</v>
      </c>
      <c r="S75">
        <v>275</v>
      </c>
      <c r="T75" t="s">
        <v>984</v>
      </c>
    </row>
    <row r="76" spans="1:20" x14ac:dyDescent="0.3">
      <c r="A76" t="s">
        <v>598</v>
      </c>
      <c r="B76" t="s">
        <v>599</v>
      </c>
      <c r="C76" t="s">
        <v>600</v>
      </c>
      <c r="D76" t="s">
        <v>96</v>
      </c>
      <c r="E76" t="s">
        <v>97</v>
      </c>
      <c r="F76">
        <v>100075</v>
      </c>
      <c r="G76" t="s">
        <v>49</v>
      </c>
      <c r="H76" t="s">
        <v>601</v>
      </c>
      <c r="I76">
        <v>91000000075</v>
      </c>
      <c r="J76" t="s">
        <v>602</v>
      </c>
      <c r="K76" t="s">
        <v>603</v>
      </c>
      <c r="L76" t="s">
        <v>604</v>
      </c>
      <c r="M76" t="s">
        <v>102</v>
      </c>
      <c r="N76" t="s">
        <v>103</v>
      </c>
      <c r="O76" t="s">
        <v>104</v>
      </c>
      <c r="P76" t="s">
        <v>931</v>
      </c>
      <c r="Q76">
        <v>1025</v>
      </c>
      <c r="R76" t="s">
        <v>932</v>
      </c>
      <c r="S76">
        <v>276</v>
      </c>
      <c r="T76" t="s">
        <v>984</v>
      </c>
    </row>
    <row r="77" spans="1:20" x14ac:dyDescent="0.3">
      <c r="A77" t="s">
        <v>605</v>
      </c>
      <c r="B77" t="s">
        <v>606</v>
      </c>
      <c r="C77" t="s">
        <v>607</v>
      </c>
      <c r="D77" t="s">
        <v>108</v>
      </c>
      <c r="E77" t="s">
        <v>48</v>
      </c>
      <c r="F77">
        <v>100076</v>
      </c>
      <c r="G77" t="s">
        <v>49</v>
      </c>
      <c r="H77" t="s">
        <v>608</v>
      </c>
      <c r="I77">
        <v>91000000076</v>
      </c>
      <c r="J77" t="s">
        <v>609</v>
      </c>
      <c r="K77" t="s">
        <v>610</v>
      </c>
      <c r="L77" t="s">
        <v>611</v>
      </c>
      <c r="M77" t="s">
        <v>54</v>
      </c>
      <c r="N77" t="s">
        <v>55</v>
      </c>
      <c r="O77" t="s">
        <v>113</v>
      </c>
      <c r="P77" t="s">
        <v>933</v>
      </c>
      <c r="Q77">
        <v>1026</v>
      </c>
      <c r="R77" t="s">
        <v>934</v>
      </c>
      <c r="S77">
        <v>277</v>
      </c>
      <c r="T77" t="s">
        <v>984</v>
      </c>
    </row>
    <row r="78" spans="1:20" x14ac:dyDescent="0.3">
      <c r="A78" t="s">
        <v>612</v>
      </c>
      <c r="B78" t="s">
        <v>613</v>
      </c>
      <c r="C78" t="s">
        <v>614</v>
      </c>
      <c r="D78" t="s">
        <v>117</v>
      </c>
      <c r="E78" t="s">
        <v>61</v>
      </c>
      <c r="F78">
        <v>100077</v>
      </c>
      <c r="G78" t="s">
        <v>49</v>
      </c>
      <c r="H78" t="s">
        <v>615</v>
      </c>
      <c r="I78">
        <v>91000000077</v>
      </c>
      <c r="J78" t="s">
        <v>616</v>
      </c>
      <c r="K78" t="s">
        <v>617</v>
      </c>
      <c r="L78" t="s">
        <v>618</v>
      </c>
      <c r="M78" t="s">
        <v>66</v>
      </c>
      <c r="N78" t="s">
        <v>67</v>
      </c>
      <c r="O78" t="s">
        <v>122</v>
      </c>
      <c r="P78" t="s">
        <v>935</v>
      </c>
      <c r="Q78">
        <v>1027</v>
      </c>
      <c r="R78" t="s">
        <v>936</v>
      </c>
      <c r="S78">
        <v>278</v>
      </c>
      <c r="T78" t="s">
        <v>984</v>
      </c>
    </row>
    <row r="79" spans="1:20" x14ac:dyDescent="0.3">
      <c r="A79" t="s">
        <v>619</v>
      </c>
      <c r="B79" t="s">
        <v>620</v>
      </c>
      <c r="C79" t="s">
        <v>621</v>
      </c>
      <c r="D79" t="s">
        <v>126</v>
      </c>
      <c r="E79" t="s">
        <v>73</v>
      </c>
      <c r="F79">
        <v>100078</v>
      </c>
      <c r="G79" t="s">
        <v>49</v>
      </c>
      <c r="H79" t="s">
        <v>622</v>
      </c>
      <c r="I79">
        <v>91000000078</v>
      </c>
      <c r="J79" t="s">
        <v>623</v>
      </c>
      <c r="K79" t="s">
        <v>624</v>
      </c>
      <c r="L79" t="s">
        <v>625</v>
      </c>
      <c r="M79" t="s">
        <v>78</v>
      </c>
      <c r="N79" t="s">
        <v>79</v>
      </c>
      <c r="O79" t="s">
        <v>131</v>
      </c>
      <c r="P79" t="s">
        <v>937</v>
      </c>
      <c r="Q79">
        <v>1028</v>
      </c>
      <c r="R79" t="s">
        <v>938</v>
      </c>
      <c r="S79">
        <v>279</v>
      </c>
      <c r="T79" t="s">
        <v>984</v>
      </c>
    </row>
    <row r="80" spans="1:20" x14ac:dyDescent="0.3">
      <c r="A80" t="s">
        <v>626</v>
      </c>
      <c r="B80" t="s">
        <v>627</v>
      </c>
      <c r="C80" t="s">
        <v>628</v>
      </c>
      <c r="D80" t="s">
        <v>135</v>
      </c>
      <c r="E80" t="s">
        <v>85</v>
      </c>
      <c r="F80">
        <v>100079</v>
      </c>
      <c r="G80" t="s">
        <v>49</v>
      </c>
      <c r="H80" t="s">
        <v>629</v>
      </c>
      <c r="I80">
        <v>91000000079</v>
      </c>
      <c r="J80" t="s">
        <v>630</v>
      </c>
      <c r="K80" t="s">
        <v>631</v>
      </c>
      <c r="L80" t="s">
        <v>632</v>
      </c>
      <c r="M80" t="s">
        <v>90</v>
      </c>
      <c r="N80" t="s">
        <v>91</v>
      </c>
      <c r="O80" t="s">
        <v>140</v>
      </c>
      <c r="P80" t="s">
        <v>939</v>
      </c>
      <c r="Q80">
        <v>1029</v>
      </c>
      <c r="R80" t="s">
        <v>940</v>
      </c>
      <c r="S80">
        <v>280</v>
      </c>
      <c r="T80" t="s">
        <v>984</v>
      </c>
    </row>
    <row r="81" spans="1:20" x14ac:dyDescent="0.3">
      <c r="A81" t="s">
        <v>633</v>
      </c>
      <c r="B81" t="s">
        <v>634</v>
      </c>
      <c r="C81" t="s">
        <v>635</v>
      </c>
      <c r="D81" t="s">
        <v>144</v>
      </c>
      <c r="E81" t="s">
        <v>97</v>
      </c>
      <c r="F81">
        <v>100080</v>
      </c>
      <c r="G81" t="s">
        <v>49</v>
      </c>
      <c r="H81" t="s">
        <v>636</v>
      </c>
      <c r="I81">
        <v>91000000080</v>
      </c>
      <c r="J81" t="s">
        <v>637</v>
      </c>
      <c r="K81" t="s">
        <v>638</v>
      </c>
      <c r="L81" t="s">
        <v>639</v>
      </c>
      <c r="M81" t="s">
        <v>102</v>
      </c>
      <c r="N81" t="s">
        <v>103</v>
      </c>
      <c r="O81" t="s">
        <v>149</v>
      </c>
      <c r="P81" t="s">
        <v>941</v>
      </c>
      <c r="Q81">
        <v>1030</v>
      </c>
      <c r="R81" t="s">
        <v>942</v>
      </c>
      <c r="S81">
        <v>281</v>
      </c>
      <c r="T81" t="s">
        <v>984</v>
      </c>
    </row>
    <row r="82" spans="1:20" x14ac:dyDescent="0.3">
      <c r="A82" t="s">
        <v>640</v>
      </c>
      <c r="B82" t="s">
        <v>641</v>
      </c>
      <c r="C82" t="s">
        <v>642</v>
      </c>
      <c r="D82" t="s">
        <v>47</v>
      </c>
      <c r="E82" t="s">
        <v>48</v>
      </c>
      <c r="F82">
        <v>100081</v>
      </c>
      <c r="G82" t="s">
        <v>49</v>
      </c>
      <c r="H82" t="s">
        <v>643</v>
      </c>
      <c r="I82">
        <v>91000000081</v>
      </c>
      <c r="J82" t="s">
        <v>644</v>
      </c>
      <c r="K82" t="s">
        <v>645</v>
      </c>
      <c r="L82" t="s">
        <v>646</v>
      </c>
      <c r="M82" t="s">
        <v>54</v>
      </c>
      <c r="N82" t="s">
        <v>55</v>
      </c>
      <c r="O82" t="s">
        <v>56</v>
      </c>
      <c r="P82" t="s">
        <v>943</v>
      </c>
      <c r="Q82">
        <v>1031</v>
      </c>
      <c r="R82" t="s">
        <v>944</v>
      </c>
      <c r="S82">
        <v>282</v>
      </c>
      <c r="T82" t="s">
        <v>984</v>
      </c>
    </row>
    <row r="83" spans="1:20" x14ac:dyDescent="0.3">
      <c r="A83" t="s">
        <v>647</v>
      </c>
      <c r="B83" t="s">
        <v>648</v>
      </c>
      <c r="C83" t="s">
        <v>649</v>
      </c>
      <c r="D83" t="s">
        <v>60</v>
      </c>
      <c r="E83" t="s">
        <v>61</v>
      </c>
      <c r="F83">
        <v>100082</v>
      </c>
      <c r="G83" t="s">
        <v>49</v>
      </c>
      <c r="H83" t="s">
        <v>650</v>
      </c>
      <c r="I83">
        <v>91000000082</v>
      </c>
      <c r="J83" t="s">
        <v>651</v>
      </c>
      <c r="K83" t="s">
        <v>652</v>
      </c>
      <c r="L83" t="s">
        <v>653</v>
      </c>
      <c r="M83" t="s">
        <v>66</v>
      </c>
      <c r="N83" t="s">
        <v>67</v>
      </c>
      <c r="O83" t="s">
        <v>68</v>
      </c>
      <c r="P83" t="s">
        <v>945</v>
      </c>
      <c r="Q83">
        <v>1032</v>
      </c>
      <c r="R83" t="s">
        <v>946</v>
      </c>
      <c r="S83">
        <v>283</v>
      </c>
      <c r="T83" t="s">
        <v>984</v>
      </c>
    </row>
    <row r="84" spans="1:20" x14ac:dyDescent="0.3">
      <c r="A84" t="s">
        <v>654</v>
      </c>
      <c r="B84" t="s">
        <v>655</v>
      </c>
      <c r="C84" t="s">
        <v>656</v>
      </c>
      <c r="D84" t="s">
        <v>72</v>
      </c>
      <c r="E84" t="s">
        <v>73</v>
      </c>
      <c r="F84">
        <v>100083</v>
      </c>
      <c r="G84" t="s">
        <v>49</v>
      </c>
      <c r="H84" t="s">
        <v>657</v>
      </c>
      <c r="I84">
        <v>91000000083</v>
      </c>
      <c r="J84" t="s">
        <v>658</v>
      </c>
      <c r="K84" t="s">
        <v>659</v>
      </c>
      <c r="L84" t="s">
        <v>660</v>
      </c>
      <c r="M84" t="s">
        <v>78</v>
      </c>
      <c r="N84" t="s">
        <v>79</v>
      </c>
      <c r="O84" t="s">
        <v>80</v>
      </c>
      <c r="P84" t="s">
        <v>947</v>
      </c>
      <c r="Q84">
        <v>1033</v>
      </c>
      <c r="R84" t="s">
        <v>948</v>
      </c>
      <c r="S84">
        <v>284</v>
      </c>
      <c r="T84" t="s">
        <v>984</v>
      </c>
    </row>
    <row r="85" spans="1:20" x14ac:dyDescent="0.3">
      <c r="A85" t="s">
        <v>661</v>
      </c>
      <c r="B85" t="s">
        <v>662</v>
      </c>
      <c r="C85" t="s">
        <v>663</v>
      </c>
      <c r="D85" t="s">
        <v>84</v>
      </c>
      <c r="E85" t="s">
        <v>85</v>
      </c>
      <c r="F85">
        <v>100084</v>
      </c>
      <c r="G85" t="s">
        <v>49</v>
      </c>
      <c r="H85" t="s">
        <v>664</v>
      </c>
      <c r="I85">
        <v>91000000084</v>
      </c>
      <c r="J85" t="s">
        <v>665</v>
      </c>
      <c r="K85" t="s">
        <v>666</v>
      </c>
      <c r="L85" t="s">
        <v>667</v>
      </c>
      <c r="M85" t="s">
        <v>90</v>
      </c>
      <c r="N85" t="s">
        <v>91</v>
      </c>
      <c r="O85" t="s">
        <v>92</v>
      </c>
      <c r="P85" t="s">
        <v>949</v>
      </c>
      <c r="Q85">
        <v>1034</v>
      </c>
      <c r="R85" t="s">
        <v>950</v>
      </c>
      <c r="S85">
        <v>285</v>
      </c>
      <c r="T85" t="s">
        <v>984</v>
      </c>
    </row>
    <row r="86" spans="1:20" x14ac:dyDescent="0.3">
      <c r="A86" t="s">
        <v>668</v>
      </c>
      <c r="B86" t="s">
        <v>669</v>
      </c>
      <c r="C86" t="s">
        <v>670</v>
      </c>
      <c r="D86" t="s">
        <v>96</v>
      </c>
      <c r="E86" t="s">
        <v>97</v>
      </c>
      <c r="F86">
        <v>100085</v>
      </c>
      <c r="G86" t="s">
        <v>49</v>
      </c>
      <c r="H86" t="s">
        <v>671</v>
      </c>
      <c r="I86">
        <v>91000000085</v>
      </c>
      <c r="J86" t="s">
        <v>672</v>
      </c>
      <c r="K86" t="s">
        <v>673</v>
      </c>
      <c r="L86" t="s">
        <v>674</v>
      </c>
      <c r="M86" t="s">
        <v>102</v>
      </c>
      <c r="N86" t="s">
        <v>103</v>
      </c>
      <c r="O86" t="s">
        <v>104</v>
      </c>
      <c r="P86" t="s">
        <v>951</v>
      </c>
      <c r="Q86">
        <v>1035</v>
      </c>
      <c r="R86" t="s">
        <v>952</v>
      </c>
      <c r="S86">
        <v>286</v>
      </c>
      <c r="T86" t="s">
        <v>984</v>
      </c>
    </row>
    <row r="87" spans="1:20" x14ac:dyDescent="0.3">
      <c r="A87" t="s">
        <v>675</v>
      </c>
      <c r="B87" t="s">
        <v>676</v>
      </c>
      <c r="C87" t="s">
        <v>677</v>
      </c>
      <c r="D87" t="s">
        <v>108</v>
      </c>
      <c r="E87" t="s">
        <v>48</v>
      </c>
      <c r="F87">
        <v>100086</v>
      </c>
      <c r="G87" t="s">
        <v>49</v>
      </c>
      <c r="H87" t="s">
        <v>678</v>
      </c>
      <c r="I87">
        <v>91000000086</v>
      </c>
      <c r="J87" t="s">
        <v>679</v>
      </c>
      <c r="K87" t="s">
        <v>680</v>
      </c>
      <c r="L87" t="s">
        <v>681</v>
      </c>
      <c r="M87" t="s">
        <v>54</v>
      </c>
      <c r="N87" t="s">
        <v>55</v>
      </c>
      <c r="O87" t="s">
        <v>113</v>
      </c>
      <c r="P87" t="s">
        <v>953</v>
      </c>
      <c r="Q87">
        <v>1036</v>
      </c>
      <c r="R87" t="s">
        <v>954</v>
      </c>
      <c r="S87">
        <v>287</v>
      </c>
      <c r="T87" t="s">
        <v>984</v>
      </c>
    </row>
    <row r="88" spans="1:20" x14ac:dyDescent="0.3">
      <c r="A88" t="s">
        <v>682</v>
      </c>
      <c r="B88" t="s">
        <v>683</v>
      </c>
      <c r="C88" t="s">
        <v>684</v>
      </c>
      <c r="D88" t="s">
        <v>117</v>
      </c>
      <c r="E88" t="s">
        <v>61</v>
      </c>
      <c r="F88">
        <v>100087</v>
      </c>
      <c r="G88" t="s">
        <v>49</v>
      </c>
      <c r="H88" t="s">
        <v>685</v>
      </c>
      <c r="I88">
        <v>91000000087</v>
      </c>
      <c r="J88" t="s">
        <v>686</v>
      </c>
      <c r="K88" t="s">
        <v>687</v>
      </c>
      <c r="L88" t="s">
        <v>688</v>
      </c>
      <c r="M88" t="s">
        <v>66</v>
      </c>
      <c r="N88" t="s">
        <v>67</v>
      </c>
      <c r="O88" t="s">
        <v>122</v>
      </c>
      <c r="P88" t="s">
        <v>955</v>
      </c>
      <c r="Q88">
        <v>1037</v>
      </c>
      <c r="R88" t="s">
        <v>956</v>
      </c>
      <c r="S88">
        <v>288</v>
      </c>
      <c r="T88" t="s">
        <v>984</v>
      </c>
    </row>
    <row r="89" spans="1:20" x14ac:dyDescent="0.3">
      <c r="A89" t="s">
        <v>689</v>
      </c>
      <c r="B89" t="s">
        <v>690</v>
      </c>
      <c r="C89" t="s">
        <v>691</v>
      </c>
      <c r="D89" t="s">
        <v>126</v>
      </c>
      <c r="E89" t="s">
        <v>73</v>
      </c>
      <c r="F89">
        <v>100088</v>
      </c>
      <c r="G89" t="s">
        <v>49</v>
      </c>
      <c r="H89" t="s">
        <v>692</v>
      </c>
      <c r="I89">
        <v>91000000088</v>
      </c>
      <c r="J89" t="s">
        <v>693</v>
      </c>
      <c r="K89" t="s">
        <v>694</v>
      </c>
      <c r="L89" t="s">
        <v>695</v>
      </c>
      <c r="M89" t="s">
        <v>78</v>
      </c>
      <c r="N89" t="s">
        <v>79</v>
      </c>
      <c r="O89" t="s">
        <v>131</v>
      </c>
      <c r="P89" t="s">
        <v>957</v>
      </c>
      <c r="Q89">
        <v>1038</v>
      </c>
      <c r="R89" t="s">
        <v>958</v>
      </c>
      <c r="S89">
        <v>289</v>
      </c>
      <c r="T89" t="s">
        <v>984</v>
      </c>
    </row>
    <row r="90" spans="1:20" x14ac:dyDescent="0.3">
      <c r="A90" t="s">
        <v>696</v>
      </c>
      <c r="B90" t="s">
        <v>697</v>
      </c>
      <c r="C90" t="s">
        <v>698</v>
      </c>
      <c r="D90" t="s">
        <v>135</v>
      </c>
      <c r="E90" t="s">
        <v>85</v>
      </c>
      <c r="F90">
        <v>100089</v>
      </c>
      <c r="G90" t="s">
        <v>49</v>
      </c>
      <c r="H90" t="s">
        <v>699</v>
      </c>
      <c r="I90">
        <v>91000000089</v>
      </c>
      <c r="J90" t="s">
        <v>700</v>
      </c>
      <c r="K90" t="s">
        <v>701</v>
      </c>
      <c r="L90" t="s">
        <v>702</v>
      </c>
      <c r="M90" t="s">
        <v>90</v>
      </c>
      <c r="N90" t="s">
        <v>91</v>
      </c>
      <c r="O90" t="s">
        <v>140</v>
      </c>
      <c r="P90" t="s">
        <v>959</v>
      </c>
      <c r="Q90">
        <v>1039</v>
      </c>
      <c r="R90" t="s">
        <v>960</v>
      </c>
      <c r="S90">
        <v>290</v>
      </c>
      <c r="T90" t="s">
        <v>984</v>
      </c>
    </row>
    <row r="91" spans="1:20" x14ac:dyDescent="0.3">
      <c r="A91" t="s">
        <v>703</v>
      </c>
      <c r="B91" t="s">
        <v>704</v>
      </c>
      <c r="C91" t="s">
        <v>705</v>
      </c>
      <c r="D91" t="s">
        <v>144</v>
      </c>
      <c r="E91" t="s">
        <v>97</v>
      </c>
      <c r="F91">
        <v>100090</v>
      </c>
      <c r="G91" t="s">
        <v>49</v>
      </c>
      <c r="H91" t="s">
        <v>706</v>
      </c>
      <c r="I91">
        <v>91000000090</v>
      </c>
      <c r="J91" t="s">
        <v>707</v>
      </c>
      <c r="K91" t="s">
        <v>708</v>
      </c>
      <c r="L91" t="s">
        <v>709</v>
      </c>
      <c r="M91" t="s">
        <v>102</v>
      </c>
      <c r="N91" t="s">
        <v>103</v>
      </c>
      <c r="O91" t="s">
        <v>149</v>
      </c>
      <c r="P91" t="s">
        <v>961</v>
      </c>
      <c r="Q91">
        <v>1040</v>
      </c>
      <c r="R91" t="s">
        <v>962</v>
      </c>
      <c r="S91">
        <v>291</v>
      </c>
      <c r="T91" t="s">
        <v>984</v>
      </c>
    </row>
    <row r="92" spans="1:20" x14ac:dyDescent="0.3">
      <c r="A92" t="s">
        <v>710</v>
      </c>
      <c r="B92" t="s">
        <v>711</v>
      </c>
      <c r="C92" t="s">
        <v>712</v>
      </c>
      <c r="D92" t="s">
        <v>47</v>
      </c>
      <c r="E92" t="s">
        <v>48</v>
      </c>
      <c r="F92">
        <v>100091</v>
      </c>
      <c r="G92" t="s">
        <v>49</v>
      </c>
      <c r="H92" t="s">
        <v>713</v>
      </c>
      <c r="I92">
        <v>91000000091</v>
      </c>
      <c r="J92" t="s">
        <v>714</v>
      </c>
      <c r="K92" t="s">
        <v>715</v>
      </c>
      <c r="L92" t="s">
        <v>716</v>
      </c>
      <c r="M92" t="s">
        <v>54</v>
      </c>
      <c r="N92" t="s">
        <v>55</v>
      </c>
      <c r="O92" t="s">
        <v>56</v>
      </c>
      <c r="P92" t="s">
        <v>963</v>
      </c>
      <c r="Q92">
        <v>1041</v>
      </c>
      <c r="R92" t="s">
        <v>964</v>
      </c>
      <c r="S92">
        <v>292</v>
      </c>
      <c r="T92" t="s">
        <v>984</v>
      </c>
    </row>
    <row r="93" spans="1:20" x14ac:dyDescent="0.3">
      <c r="A93" t="s">
        <v>717</v>
      </c>
      <c r="B93" t="s">
        <v>718</v>
      </c>
      <c r="C93" t="s">
        <v>719</v>
      </c>
      <c r="D93" t="s">
        <v>60</v>
      </c>
      <c r="E93" t="s">
        <v>61</v>
      </c>
      <c r="F93">
        <v>100092</v>
      </c>
      <c r="G93" t="s">
        <v>49</v>
      </c>
      <c r="H93" t="s">
        <v>720</v>
      </c>
      <c r="I93">
        <v>91000000092</v>
      </c>
      <c r="J93" t="s">
        <v>721</v>
      </c>
      <c r="K93" t="s">
        <v>722</v>
      </c>
      <c r="L93" t="s">
        <v>723</v>
      </c>
      <c r="M93" t="s">
        <v>66</v>
      </c>
      <c r="N93" t="s">
        <v>67</v>
      </c>
      <c r="O93" t="s">
        <v>68</v>
      </c>
      <c r="P93" t="s">
        <v>965</v>
      </c>
      <c r="Q93">
        <v>1042</v>
      </c>
      <c r="R93" t="s">
        <v>966</v>
      </c>
      <c r="S93">
        <v>293</v>
      </c>
      <c r="T93" t="s">
        <v>984</v>
      </c>
    </row>
    <row r="94" spans="1:20" x14ac:dyDescent="0.3">
      <c r="A94" t="s">
        <v>724</v>
      </c>
      <c r="B94" t="s">
        <v>725</v>
      </c>
      <c r="C94" t="s">
        <v>726</v>
      </c>
      <c r="D94" t="s">
        <v>72</v>
      </c>
      <c r="E94" t="s">
        <v>73</v>
      </c>
      <c r="F94">
        <v>100093</v>
      </c>
      <c r="G94" t="s">
        <v>49</v>
      </c>
      <c r="H94" t="s">
        <v>727</v>
      </c>
      <c r="I94">
        <v>91000000093</v>
      </c>
      <c r="J94" t="s">
        <v>728</v>
      </c>
      <c r="K94" t="s">
        <v>729</v>
      </c>
      <c r="L94" t="s">
        <v>730</v>
      </c>
      <c r="M94" t="s">
        <v>78</v>
      </c>
      <c r="N94" t="s">
        <v>79</v>
      </c>
      <c r="O94" t="s">
        <v>80</v>
      </c>
      <c r="P94" t="s">
        <v>967</v>
      </c>
      <c r="Q94">
        <v>1043</v>
      </c>
      <c r="R94" t="s">
        <v>968</v>
      </c>
      <c r="S94">
        <v>294</v>
      </c>
      <c r="T94" t="s">
        <v>984</v>
      </c>
    </row>
    <row r="95" spans="1:20" x14ac:dyDescent="0.3">
      <c r="A95" t="s">
        <v>731</v>
      </c>
      <c r="B95" t="s">
        <v>732</v>
      </c>
      <c r="C95" t="s">
        <v>733</v>
      </c>
      <c r="D95" t="s">
        <v>84</v>
      </c>
      <c r="E95" t="s">
        <v>85</v>
      </c>
      <c r="F95">
        <v>100094</v>
      </c>
      <c r="G95" t="s">
        <v>49</v>
      </c>
      <c r="H95" t="s">
        <v>734</v>
      </c>
      <c r="I95">
        <v>91000000094</v>
      </c>
      <c r="J95" t="s">
        <v>735</v>
      </c>
      <c r="K95" t="s">
        <v>736</v>
      </c>
      <c r="L95" t="s">
        <v>737</v>
      </c>
      <c r="M95" t="s">
        <v>90</v>
      </c>
      <c r="N95" t="s">
        <v>91</v>
      </c>
      <c r="O95" t="s">
        <v>92</v>
      </c>
      <c r="P95" t="s">
        <v>969</v>
      </c>
      <c r="Q95">
        <v>1044</v>
      </c>
      <c r="R95" t="s">
        <v>970</v>
      </c>
      <c r="S95">
        <v>295</v>
      </c>
      <c r="T95" t="s">
        <v>984</v>
      </c>
    </row>
    <row r="96" spans="1:20" x14ac:dyDescent="0.3">
      <c r="A96" t="s">
        <v>738</v>
      </c>
      <c r="B96" t="s">
        <v>739</v>
      </c>
      <c r="C96" t="s">
        <v>740</v>
      </c>
      <c r="D96" t="s">
        <v>96</v>
      </c>
      <c r="E96" t="s">
        <v>97</v>
      </c>
      <c r="F96">
        <v>100095</v>
      </c>
      <c r="G96" t="s">
        <v>49</v>
      </c>
      <c r="H96" t="s">
        <v>741</v>
      </c>
      <c r="I96">
        <v>91000000095</v>
      </c>
      <c r="J96" t="s">
        <v>742</v>
      </c>
      <c r="K96" t="s">
        <v>743</v>
      </c>
      <c r="L96" t="s">
        <v>744</v>
      </c>
      <c r="M96" t="s">
        <v>102</v>
      </c>
      <c r="N96" t="s">
        <v>103</v>
      </c>
      <c r="O96" t="s">
        <v>104</v>
      </c>
      <c r="P96" t="s">
        <v>971</v>
      </c>
      <c r="Q96">
        <v>1045</v>
      </c>
      <c r="R96" t="s">
        <v>972</v>
      </c>
      <c r="S96">
        <v>296</v>
      </c>
      <c r="T96" t="s">
        <v>984</v>
      </c>
    </row>
    <row r="97" spans="1:20" x14ac:dyDescent="0.3">
      <c r="A97" t="s">
        <v>745</v>
      </c>
      <c r="B97" t="s">
        <v>746</v>
      </c>
      <c r="C97" t="s">
        <v>747</v>
      </c>
      <c r="D97" t="s">
        <v>108</v>
      </c>
      <c r="E97" t="s">
        <v>48</v>
      </c>
      <c r="F97">
        <v>100096</v>
      </c>
      <c r="G97" t="s">
        <v>49</v>
      </c>
      <c r="H97" t="s">
        <v>748</v>
      </c>
      <c r="I97">
        <v>91000000096</v>
      </c>
      <c r="J97" t="s">
        <v>749</v>
      </c>
      <c r="K97" t="s">
        <v>750</v>
      </c>
      <c r="L97" t="s">
        <v>751</v>
      </c>
      <c r="M97" t="s">
        <v>54</v>
      </c>
      <c r="N97" t="s">
        <v>55</v>
      </c>
      <c r="O97" t="s">
        <v>113</v>
      </c>
      <c r="P97" t="s">
        <v>973</v>
      </c>
      <c r="Q97">
        <v>1046</v>
      </c>
      <c r="R97" t="s">
        <v>974</v>
      </c>
      <c r="S97">
        <v>297</v>
      </c>
      <c r="T97" t="s">
        <v>984</v>
      </c>
    </row>
    <row r="98" spans="1:20" x14ac:dyDescent="0.3">
      <c r="A98" t="s">
        <v>752</v>
      </c>
      <c r="B98" t="s">
        <v>753</v>
      </c>
      <c r="C98" t="s">
        <v>754</v>
      </c>
      <c r="D98" t="s">
        <v>117</v>
      </c>
      <c r="E98" t="s">
        <v>61</v>
      </c>
      <c r="F98">
        <v>100097</v>
      </c>
      <c r="G98" t="s">
        <v>49</v>
      </c>
      <c r="H98" t="s">
        <v>755</v>
      </c>
      <c r="I98">
        <v>91000000097</v>
      </c>
      <c r="J98" t="s">
        <v>756</v>
      </c>
      <c r="K98" t="s">
        <v>757</v>
      </c>
      <c r="L98" t="s">
        <v>758</v>
      </c>
      <c r="M98" t="s">
        <v>66</v>
      </c>
      <c r="N98" t="s">
        <v>67</v>
      </c>
      <c r="O98" t="s">
        <v>122</v>
      </c>
      <c r="P98" t="s">
        <v>975</v>
      </c>
      <c r="Q98">
        <v>1047</v>
      </c>
      <c r="R98" t="s">
        <v>976</v>
      </c>
      <c r="S98">
        <v>298</v>
      </c>
      <c r="T98" t="s">
        <v>984</v>
      </c>
    </row>
    <row r="99" spans="1:20" x14ac:dyDescent="0.3">
      <c r="A99" t="s">
        <v>759</v>
      </c>
      <c r="B99" t="s">
        <v>760</v>
      </c>
      <c r="C99" t="s">
        <v>761</v>
      </c>
      <c r="D99" t="s">
        <v>126</v>
      </c>
      <c r="E99" t="s">
        <v>73</v>
      </c>
      <c r="F99">
        <v>100098</v>
      </c>
      <c r="G99" t="s">
        <v>49</v>
      </c>
      <c r="H99" t="s">
        <v>762</v>
      </c>
      <c r="I99">
        <v>91000000098</v>
      </c>
      <c r="J99" t="s">
        <v>763</v>
      </c>
      <c r="K99" t="s">
        <v>764</v>
      </c>
      <c r="L99" t="s">
        <v>765</v>
      </c>
      <c r="M99" t="s">
        <v>78</v>
      </c>
      <c r="N99" t="s">
        <v>79</v>
      </c>
      <c r="O99" t="s">
        <v>131</v>
      </c>
      <c r="P99" t="s">
        <v>977</v>
      </c>
      <c r="Q99">
        <v>1048</v>
      </c>
      <c r="R99" t="s">
        <v>978</v>
      </c>
      <c r="S99">
        <v>299</v>
      </c>
      <c r="T99" t="s">
        <v>984</v>
      </c>
    </row>
    <row r="100" spans="1:20" x14ac:dyDescent="0.3">
      <c r="A100" t="s">
        <v>766</v>
      </c>
      <c r="B100" t="s">
        <v>767</v>
      </c>
      <c r="C100" t="s">
        <v>768</v>
      </c>
      <c r="D100" t="s">
        <v>135</v>
      </c>
      <c r="E100" t="s">
        <v>85</v>
      </c>
      <c r="F100">
        <v>100099</v>
      </c>
      <c r="G100" t="s">
        <v>49</v>
      </c>
      <c r="H100" t="s">
        <v>769</v>
      </c>
      <c r="I100">
        <v>91000000099</v>
      </c>
      <c r="J100" t="s">
        <v>770</v>
      </c>
      <c r="K100" t="s">
        <v>771</v>
      </c>
      <c r="L100" t="s">
        <v>772</v>
      </c>
      <c r="M100" t="s">
        <v>90</v>
      </c>
      <c r="N100" t="s">
        <v>91</v>
      </c>
      <c r="O100" t="s">
        <v>140</v>
      </c>
      <c r="P100" t="s">
        <v>979</v>
      </c>
      <c r="Q100">
        <v>1049</v>
      </c>
      <c r="R100" t="s">
        <v>980</v>
      </c>
      <c r="S100">
        <v>300</v>
      </c>
      <c r="T100" t="s">
        <v>984</v>
      </c>
    </row>
    <row r="101" spans="1:20" x14ac:dyDescent="0.3">
      <c r="A101" t="s">
        <v>773</v>
      </c>
      <c r="B101" t="s">
        <v>774</v>
      </c>
      <c r="C101" t="s">
        <v>775</v>
      </c>
      <c r="D101" t="s">
        <v>144</v>
      </c>
      <c r="E101" t="s">
        <v>97</v>
      </c>
      <c r="F101">
        <v>1000100</v>
      </c>
      <c r="G101" t="s">
        <v>49</v>
      </c>
      <c r="H101" t="s">
        <v>776</v>
      </c>
      <c r="I101">
        <v>91000000100</v>
      </c>
      <c r="J101" t="s">
        <v>777</v>
      </c>
      <c r="K101" t="s">
        <v>778</v>
      </c>
      <c r="L101" t="s">
        <v>779</v>
      </c>
      <c r="M101" t="s">
        <v>102</v>
      </c>
      <c r="N101" t="s">
        <v>103</v>
      </c>
      <c r="O101" t="s">
        <v>149</v>
      </c>
      <c r="P101" t="s">
        <v>981</v>
      </c>
      <c r="Q101">
        <v>1000</v>
      </c>
      <c r="R101" t="s">
        <v>982</v>
      </c>
      <c r="S101">
        <v>301</v>
      </c>
      <c r="T101" t="s">
        <v>984</v>
      </c>
    </row>
  </sheetData>
  <sheetProtection algorithmName="SHA-512" hashValue="sp7prgAHWVxmx5d8lNXw8Oe830Xq8DHT+/zLedmsAsP7FLLr+w6wmOPc+hO56WenAOXMLRJrX/e2Wsg9k7gTLQ==" saltValue="PRXh2+fgjPV8DZRBE/7l3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Sheet2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Empire</dc:creator>
  <cp:lastModifiedBy>Mr Empire</cp:lastModifiedBy>
  <cp:lastPrinted>2025-05-16T15:53:44Z</cp:lastPrinted>
  <dcterms:created xsi:type="dcterms:W3CDTF">2025-04-16T18:48:25Z</dcterms:created>
  <dcterms:modified xsi:type="dcterms:W3CDTF">2025-05-16T15:59:51Z</dcterms:modified>
</cp:coreProperties>
</file>